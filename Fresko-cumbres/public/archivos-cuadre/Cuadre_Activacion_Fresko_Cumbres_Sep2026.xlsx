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men" sheetId="1" state="visible" r:id="rId3"/>
    <sheet name="Depositos" sheetId="2" state="visible" r:id="rId4"/>
    <sheet name="Gastos" sheetId="3" state="visible" r:id="rId5"/>
    <sheet name="Nomina" sheetId="4" state="visible" r:id="rId6"/>
    <sheet name="Viaticos" sheetId="5" state="visible" r:id="rId7"/>
    <sheet name="Detalle tickets" sheetId="6" state="visible" r:id="rId8"/>
    <sheet name="Cargos Fresko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<sst xmlns="http://schemas.openxmlformats.org/spreadsheetml/2006/main" count="1171" uniqueCount="633">
  <si>
    <t xml:space="preserve">CUADRE DE DEPÓSITOS Y GASTOS — Activación Fresko Cumbres, Monterrey (sep 2026)</t>
  </si>
  <si>
    <t xml:space="preserve">1. LO QUE ME DEPOSITARON</t>
  </si>
  <si>
    <t xml:space="preserve">Monto</t>
  </si>
  <si>
    <t xml:space="preserve">Total depósitos</t>
  </si>
  <si>
    <t xml:space="preserve">   Con comprobante</t>
  </si>
  <si>
    <t xml:space="preserve">   Sin comprobante (pedir a Aldo / Tere)</t>
  </si>
  <si>
    <t xml:space="preserve">2. EN QUÉ SE GASTÓ</t>
  </si>
  <si>
    <t xml:space="preserve">Macetas</t>
  </si>
  <si>
    <t xml:space="preserve">Mástiles</t>
  </si>
  <si>
    <t xml:space="preserve">Hospedaje</t>
  </si>
  <si>
    <t xml:space="preserve">Nómina</t>
  </si>
  <si>
    <t xml:space="preserve">Transporte</t>
  </si>
  <si>
    <t xml:space="preserve">Material y herramienta</t>
  </si>
  <si>
    <t xml:space="preserve">Hidratación del equipo (agua, hielo, bebidas) y comidas dentro de Fresko</t>
  </si>
  <si>
    <t xml:space="preserve">Nómina diaria (pestaña Nomina)</t>
  </si>
  <si>
    <t xml:space="preserve">Viáticos diarios: Uber, comidas (pestaña Viaticos)</t>
  </si>
  <si>
    <t xml:space="preserve">Gasto personal (no Fresko): bicicleta y squishys</t>
  </si>
  <si>
    <t xml:space="preserve">TOTAL GASTOS</t>
  </si>
  <si>
    <t xml:space="preserve">3. CUADRE</t>
  </si>
  <si>
    <t xml:space="preserve">Depósitos - Gastos</t>
  </si>
  <si>
    <t xml:space="preserve">4. PENDIENTES</t>
  </si>
  <si>
    <t xml:space="preserve">Cuántos</t>
  </si>
  <si>
    <t xml:space="preserve">Gastos sin monto (amarillos en Gastos)</t>
  </si>
  <si>
    <t xml:space="preserve">Depósitos sin comprobante</t>
  </si>
  <si>
    <t xml:space="preserve">Días de nómina sin capturar</t>
  </si>
  <si>
    <t xml:space="preserve">DEPÓSITOS RECIBIDOS DE ALDO / TERE / CLAUDIA</t>
  </si>
  <si>
    <t xml:space="preserve">Lista enviada por Aldo en el grupo Pop Monterrey el 28 sep. Comprobantes cruzados con capturas BBVA/Santander.</t>
  </si>
  <si>
    <t xml:space="preserve">#</t>
  </si>
  <si>
    <t xml:space="preserve">Fecha</t>
  </si>
  <si>
    <t xml:space="preserve">Quién depositó</t>
  </si>
  <si>
    <t xml:space="preserve">Concepto en el banco</t>
  </si>
  <si>
    <t xml:space="preserve">Comprobante (folio)</t>
  </si>
  <si>
    <t xml:space="preserve">¿Tengo comprobante?</t>
  </si>
  <si>
    <t xml:space="preserve">Notas</t>
  </si>
  <si>
    <t xml:space="preserve">2026-08-31</t>
  </si>
  <si>
    <t xml:space="preserve">Aldo</t>
  </si>
  <si>
    <t xml:space="preserve">taxi</t>
  </si>
  <si>
    <t xml:space="preserve">BBVA 7181151020</t>
  </si>
  <si>
    <t xml:space="preserve">Sí</t>
  </si>
  <si>
    <t xml:space="preserve">2026-09-05</t>
  </si>
  <si>
    <t xml:space="preserve">Tere</t>
  </si>
  <si>
    <t xml:space="preserve">Confirmado en estado de cuenta (Teresita Del Carmen Terrones Velez, 5-sep)</t>
  </si>
  <si>
    <t xml:space="preserve">Ya no falta pedirle el comprobante a Tere; se confirmó en tu estado de cuenta.</t>
  </si>
  <si>
    <t xml:space="preserve">2026-09-04</t>
  </si>
  <si>
    <t xml:space="preserve">mac</t>
  </si>
  <si>
    <t xml:space="preserve">BBVA 0078243194</t>
  </si>
  <si>
    <t xml:space="preserve">Macetas $43,200 + $6,800 para mástiles</t>
  </si>
  <si>
    <t xml:space="preserve">Confirmado en estado de cuenta (Mario Aldo Montenegro Esqueda, 5-sep)</t>
  </si>
  <si>
    <t xml:space="preserve">Los 10 mil de los mástiles; ya se confirmó en tu estado de cuenta.</t>
  </si>
  <si>
    <t xml:space="preserve">2026-09-09</t>
  </si>
  <si>
    <t xml:space="preserve">aldo</t>
  </si>
  <si>
    <t xml:space="preserve">BBVA 0053838352</t>
  </si>
  <si>
    <t xml:space="preserve">pago</t>
  </si>
  <si>
    <t xml:space="preserve">BBVA 0056968572</t>
  </si>
  <si>
    <t xml:space="preserve">2026-09-12</t>
  </si>
  <si>
    <t xml:space="preserve">monterewy</t>
  </si>
  <si>
    <t xml:space="preserve">BBVA 8191486766</t>
  </si>
  <si>
    <t xml:space="preserve">2026-09-13</t>
  </si>
  <si>
    <t xml:space="preserve">nom</t>
  </si>
  <si>
    <t xml:space="preserve">BBVA 8295941864</t>
  </si>
  <si>
    <t xml:space="preserve">2026-09-15</t>
  </si>
  <si>
    <t xml:space="preserve">Confirmado en estado de cuenta (Mario Aldo Montenegro Esqueda, 15-sep)</t>
  </si>
  <si>
    <t xml:space="preserve">Ya se confirmó en tu estado de cuenta.</t>
  </si>
  <si>
    <t xml:space="preserve">2026-09-17</t>
  </si>
  <si>
    <t xml:space="preserve">beto</t>
  </si>
  <si>
    <t xml:space="preserve">BBVA 8573668813</t>
  </si>
  <si>
    <t xml:space="preserve">2026-09-18</t>
  </si>
  <si>
    <t xml:space="preserve">monterrey</t>
  </si>
  <si>
    <t xml:space="preserve">BBVA 8740024681</t>
  </si>
  <si>
    <t xml:space="preserve">2026-09-19</t>
  </si>
  <si>
    <t xml:space="preserve">BBVA 8827672930</t>
  </si>
  <si>
    <t xml:space="preserve">2026-09-21</t>
  </si>
  <si>
    <t xml:space="preserve">BBVA 8916686512</t>
  </si>
  <si>
    <t xml:space="preserve">Daniel Maximiliano Morales Sanchez (a nombre de Aldo)</t>
  </si>
  <si>
    <t xml:space="preserve">ALBERTO BALDERAS de Aldo</t>
  </si>
  <si>
    <t xml:space="preserve">Santander 3864634</t>
  </si>
  <si>
    <t xml:space="preserve">Confirmado: sí se acreditó (estado de cuenta, 21-sep, $30,000). El nombre del remitente en el banco es Daniel Maximiliano Morales Sanchez, a nombre de Aldo; antes tenías anotado 'Claudia'.</t>
  </si>
  <si>
    <t xml:space="preserve">2026-09-24</t>
  </si>
  <si>
    <t xml:space="preserve">BBVA 9176305601</t>
  </si>
  <si>
    <t xml:space="preserve">2026-09-25</t>
  </si>
  <si>
    <t xml:space="preserve">BBVA 9262072334</t>
  </si>
  <si>
    <t xml:space="preserve">BBVA 9346948390</t>
  </si>
  <si>
    <t xml:space="preserve">2026-09-08</t>
  </si>
  <si>
    <t xml:space="preserve">Daniel Maximiliano Morales Sanchez</t>
  </si>
  <si>
    <t xml:space="preserve">Confirmado en estado de cuenta (Daniel Maximiliano Morales Sanchez, 8-sep)</t>
  </si>
  <si>
    <t xml:space="preserve">Alberto confirma que este depósito sí es de la activación Fresko Cumbres. por parte de Claudia</t>
  </si>
  <si>
    <t xml:space="preserve">TOTAL DEPÓSITOS</t>
  </si>
  <si>
    <t xml:space="preserve">Con comprobante</t>
  </si>
  <si>
    <t xml:space="preserve">Sin comprobante (amarillo)</t>
  </si>
  <si>
    <t xml:space="preserve">Total según la lista de Aldo: $289,350</t>
  </si>
  <si>
    <t xml:space="preserve">GASTOS DE LA ACTIVACIÓN (todo menos nómina diaria y viáticos diarios)</t>
  </si>
  <si>
    <t xml:space="preserve">Categoría</t>
  </si>
  <si>
    <t xml:space="preserve">Proveedor / Persona</t>
  </si>
  <si>
    <t xml:space="preserve">Concepto</t>
  </si>
  <si>
    <t xml:space="preserve">Comprobante</t>
  </si>
  <si>
    <t xml:space="preserve">Estatus</t>
  </si>
  <si>
    <t xml:space="preserve">Ricardo Dávila (proveedor)</t>
  </si>
  <si>
    <t xml:space="preserve">3,000 macetas</t>
  </si>
  <si>
    <t xml:space="preserve">Falta comprobante</t>
  </si>
  <si>
    <t xml:space="preserve">Monto según tu mensaje en el grupo 5 sep</t>
  </si>
  <si>
    <t xml:space="preserve">2026-09-06</t>
  </si>
  <si>
    <t xml:space="preserve">Iván / proveedores</t>
  </si>
  <si>
    <t xml:space="preserve">Material 3 mástiles (incluye 20%)</t>
  </si>
  <si>
    <t xml:space="preserve">mastil_v2_fabricacion.pdf</t>
  </si>
  <si>
    <t xml:space="preserve">Cotización</t>
  </si>
  <si>
    <t xml:space="preserve">Pagado con $6,800 sobrantes de macetas + $10,000 del 5 sep + tu dinero Alberto confirma que ese dinero se lo transfirió a Iván.</t>
  </si>
  <si>
    <t xml:space="preserve">Iván</t>
  </si>
  <si>
    <t xml:space="preserve">Mano de obra de herrería 3 mástiles</t>
  </si>
  <si>
    <t xml:space="preserve">Alberto confirma que el dinero de mástiles se lo transfirió a Iván (mismo pago que fila 6).</t>
  </si>
  <si>
    <t xml:space="preserve">2026-09-05 a 09-07</t>
  </si>
  <si>
    <t xml:space="preserve">Airbnb</t>
  </si>
  <si>
    <t xml:space="preserve">Airbnb 5 al 7 sep (104 USD)</t>
  </si>
  <si>
    <t xml:space="preserve">Cargo de tarjeta 5-sep 12:59, $1,749.50 (Airbnb * hmzmsbzebz)</t>
  </si>
  <si>
    <t xml:space="preserve">Confirmado con el estado de cuenta: cargo real de $1,749.50 (antes se había estimado $1,857 con un tipo de cambio aproximado; este es el monto exacto que cobró la tarjeta).</t>
  </si>
  <si>
    <t xml:space="preserve">2026-09-07 a 09-13</t>
  </si>
  <si>
    <t xml:space="preserve">Hospedaje 7 al 13 sep</t>
  </si>
  <si>
    <t xml:space="preserve">Mercado Pago #178194749650</t>
  </si>
  <si>
    <t xml:space="preserve">Transferencia a Patricia Carolina Martínez, 9-sep 5:15pm, $700 x 6 noches (7-13 sep).</t>
  </si>
  <si>
    <t xml:space="preserve">Patricia Carolina Martínez</t>
  </si>
  <si>
    <t xml:space="preserve">Hospedaje 7 días, hasta el 20 sep</t>
  </si>
  <si>
    <t xml:space="preserve">Mercado Pago #178802483395</t>
  </si>
  <si>
    <t xml:space="preserve">2026-09-21 a 09-24</t>
  </si>
  <si>
    <t xml:space="preserve">Hospedaje 21 al 24 sep</t>
  </si>
  <si>
    <t xml:space="preserve">Mercado Pago #180505459664</t>
  </si>
  <si>
    <t xml:space="preserve">Transferencia a Patricia Carolina Martínez, 23-sep 10:45am, $700 x 3 noches (21-24 sep). La nota anterior decía $800/noche; el chat con Carolina confirma que la tarifa real acordada fue $700/noche.</t>
  </si>
  <si>
    <t xml:space="preserve">Noche extra (no desalojé el 24)</t>
  </si>
  <si>
    <t xml:space="preserve">Mercado Pago #179937675245 (1 de 2 transferencias de $700)</t>
  </si>
  <si>
    <t xml:space="preserve">Con comprobante parcial</t>
  </si>
  <si>
    <t xml:space="preserve">Cubre las noches del 24 y 25-sep ($700 c/u, según el chat con Carolina). Alberto mandó $700 el 25-sep 7:14pm (comprobante #179937675245) y prometió otros $700 en cuanto le depositaran; no hay comprobante de esa segunda transferencia todavía.</t>
  </si>
  <si>
    <t xml:space="preserve">Hotel</t>
  </si>
  <si>
    <t xml:space="preserve">Hotel 25 sep</t>
  </si>
  <si>
    <t xml:space="preserve">Duplicado - no contar</t>
  </si>
  <si>
    <t xml:space="preserve">Era la misma noche extra de la fila 12 (Carolina cobra por noche, no existe un 'hotel' aparte). Se deja en $0 para no duplicar; los $1,400 completos ya están en la fila 12.</t>
  </si>
  <si>
    <t xml:space="preserve">2026-09-14</t>
  </si>
  <si>
    <t xml:space="preserve">Rolando (sonido)</t>
  </si>
  <si>
    <t xml:space="preserve">8 días x $700</t>
  </si>
  <si>
    <t xml:space="preserve">Mercado Pago #179081572804</t>
  </si>
  <si>
    <t xml:space="preserve">El costo era de 900 se negocio a 700 por distancia.</t>
  </si>
  <si>
    <t xml:space="preserve">Promotores</t>
  </si>
  <si>
    <t xml:space="preserve">Liquidación final en efectivo (23 y 24 sep): jornada, puntualidad y referidos</t>
  </si>
  <si>
    <t xml:space="preserve">XLS enviado al grupo 24 sep</t>
  </si>
  <si>
    <t xml:space="preserve">Monto real registrado en el sistema de nómina: $12,250 del 23-sep + $12,100 del 24-sep. El XLS enviado al grupo decía $25,350; la diferencia de $1,000 viene de ajustes posteriores. Con esto, nómina total = $142,800, igual que el archivo de detalle de nómina.</t>
  </si>
  <si>
    <t xml:space="preserve">Taxi</t>
  </si>
  <si>
    <t xml:space="preserve">Taxi (depósito de $350 del 31 ago)</t>
  </si>
  <si>
    <t xml:space="preserve">Coincide con el depósito de $350 que Aldo marcó 'taxi' el 31-ago (mismo monto exacto).</t>
  </si>
  <si>
    <t xml:space="preserve">2026-09-07</t>
  </si>
  <si>
    <t xml:space="preserve">Boleto Iván</t>
  </si>
  <si>
    <t xml:space="preserve">Boleto de Iván a Monterrey</t>
  </si>
  <si>
    <t xml:space="preserve">Viva Aerobus, cargo de tarjeta 7-sep 23:13</t>
  </si>
  <si>
    <t xml:space="preserve">Camión</t>
  </si>
  <si>
    <t xml:space="preserve">Camión de regreso MTY - CDMX</t>
  </si>
  <si>
    <t xml:space="preserve">Mercado Pago #179936512115 (Autobuses Estrella Blanca)</t>
  </si>
  <si>
    <t xml:space="preserve">Boleto de autobús, Monterrey - México Norte, 25-sep.</t>
  </si>
  <si>
    <t xml:space="preserve">2026-09-09 a 09-22</t>
  </si>
  <si>
    <t xml:space="preserve">Home Depot / Fresko / ferreterías</t>
  </si>
  <si>
    <t xml:space="preserve">Tickets Lote 1 (20 tickets) — detalle artículo por artículo en la pestaña 'Detalle tickets'</t>
  </si>
  <si>
    <t xml:space="preserve">Fotos de tickets</t>
  </si>
  <si>
    <t xml:space="preserve">5 tickets de Home Depot sin fecha visible</t>
  </si>
  <si>
    <t xml:space="preserve">2026-09-10 a 09-23</t>
  </si>
  <si>
    <t xml:space="preserve">Fresko</t>
  </si>
  <si>
    <t xml:space="preserve">Tickets Lote 2 (19 tickets) — detalle artículo por artículo en la pestaña 'Detalle tickets'</t>
  </si>
  <si>
    <t xml:space="preserve">2026-09-09 a 09-19</t>
  </si>
  <si>
    <t xml:space="preserve">Tickets Lote 3 (11 tickets) — detalle artículo por artículo en la pestaña 'Detalle tickets'</t>
  </si>
  <si>
    <t xml:space="preserve">Corregido a la suma real de los 11 tickets (todos con foto). Antes estaba capturado en $1,238.20.</t>
  </si>
  <si>
    <t xml:space="preserve">2026-09-11 a 09-23</t>
  </si>
  <si>
    <t xml:space="preserve">Tickets Lote 4 (16 tickets) — detalle artículo por artículo en la pestaña 'Detalle tickets'</t>
  </si>
  <si>
    <t xml:space="preserve">Sin contar el retiro de efectivo de $1,500</t>
  </si>
  <si>
    <t xml:space="preserve">Viva Aerobus</t>
  </si>
  <si>
    <t xml:space="preserve">Vuelo de Alberto a Monterrey</t>
  </si>
  <si>
    <t xml:space="preserve">Viva Aerobus, cargo de tarjeta 4-sep 20:49</t>
  </si>
  <si>
    <t xml:space="preserve">Elec Steren</t>
  </si>
  <si>
    <t xml:space="preserve">Compra en Steren</t>
  </si>
  <si>
    <t xml:space="preserve">Cargo de tarjeta 8-sep 09:07</t>
  </si>
  <si>
    <t xml:space="preserve">Revisa qué se compró exactamente; no venía en las fotos de tickets de los Lotes.</t>
  </si>
  <si>
    <t xml:space="preserve">2026-09-09 a 09-24</t>
  </si>
  <si>
    <t xml:space="preserve">Fresko Valle Cumbres</t>
  </si>
  <si>
    <t xml:space="preserve">Cargos de tarjeta en Fresko Valle Cumbres que no tienen ticket en los lotes (14 de 54) — lista en la pestaña 'Cargos Fresko'</t>
  </si>
  <si>
    <t xml:space="preserve">Estado de cuenta de tarjeta, 54 cargos 'Pago en tienda física'</t>
  </si>
  <si>
    <t xml:space="preserve">Estado de cuenta, 9 al 24-sep: 54 cargos por $11,656.88. Se revisaron contra los tickets: 39 cargos ($5,993.74) son las mismas compras que ya están en los tickets de los lotes, y uno ($1,679.05) es el ticket L4-11 más un retiro de efectivo de $1,500. Para no contar dos veces, aquí solo van los 14 cargos restantes.</t>
  </si>
  <si>
    <t xml:space="preserve">Personal (no Fresko)</t>
  </si>
  <si>
    <t xml:space="preserve">Alberto</t>
  </si>
  <si>
    <t xml:space="preserve">Bicicleta de Emilia y squishys</t>
  </si>
  <si>
    <t xml:space="preserve">Gasto personal</t>
  </si>
  <si>
    <t xml:space="preserve">Gasto personal de Alberto, no es de Fresko.</t>
  </si>
  <si>
    <t xml:space="preserve">Último día</t>
  </si>
  <si>
    <t xml:space="preserve">Didier</t>
  </si>
  <si>
    <t xml:space="preserve">Taxis del último día</t>
  </si>
  <si>
    <t xml:space="preserve">Por pagar</t>
  </si>
  <si>
    <t xml:space="preserve">Pendiente de pagarle a Didier.</t>
  </si>
  <si>
    <t xml:space="preserve">Karen Lizbeth Jiménez (folio 082)</t>
  </si>
  <si>
    <t xml:space="preserve">Saldo de su turno del 18-sep</t>
  </si>
  <si>
    <t xml:space="preserve">Por transferir</t>
  </si>
  <si>
    <t xml:space="preserve">Se le entregaron $200 ese día; faltan $200 por transferir.</t>
  </si>
  <si>
    <t xml:space="preserve">TOTAL GASTOS (esta pestaña)</t>
  </si>
  <si>
    <t xml:space="preserve">NÓMINA DIARIA (lo que pagaste cada día a los promotores)</t>
  </si>
  <si>
    <t xml:space="preserve">Pago por turno</t>
  </si>
  <si>
    <t xml:space="preserve">Dato tuyo: turno $400</t>
  </si>
  <si>
    <t xml:space="preserve">Ejemplo: 11 personas x $400 = $4,400 + Didier $800 en Extras = $5,200 ese día.</t>
  </si>
  <si>
    <t xml:space="preserve">Personas que trabajaron</t>
  </si>
  <si>
    <t xml:space="preserve">Turnos (personas x pago)</t>
  </si>
  <si>
    <t xml:space="preserve">Extras (Didier, suplentes, bonos)</t>
  </si>
  <si>
    <t xml:space="preserve">Total del día</t>
  </si>
  <si>
    <t xml:space="preserve">8-sep: capacitación (34 promotores x $200 = $6,800), no hubo turno de calle</t>
  </si>
  <si>
    <t xml:space="preserve">incluye puntualidad $4,100 + referidos $350 (cierre Etapa 1)</t>
  </si>
  <si>
    <t xml:space="preserve">Didier ya con tarifa $800/día desde este día</t>
  </si>
  <si>
    <t xml:space="preserve">16-sep: día de descanso, no se trabajó</t>
  </si>
  <si>
    <t xml:space="preserve">Incluye $200 del turno de Karen (082); le quedan $200 pendientes.</t>
  </si>
  <si>
    <t xml:space="preserve">Didier no fue pagado ese día</t>
  </si>
  <si>
    <t xml:space="preserve">Incluye 1 turno del 24-sep (folio 077) pagado aparte de la liquidación.</t>
  </si>
  <si>
    <t xml:space="preserve">TOTAL NÓMINA DIARIA</t>
  </si>
  <si>
    <t xml:space="preserve">La liquidación final (23 y 24 sep) y lo de Rolando ($5,600) ya están en la pestaña Gastos; no los repitas aquí.</t>
  </si>
  <si>
    <t xml:space="preserve">VIÁTICOS DIARIOS (Uber, comidas y otros gastos sin ticket)</t>
  </si>
  <si>
    <t xml:space="preserve">Uber / taxi</t>
  </si>
  <si>
    <t xml:space="preserve">Comidas (sin ticket)</t>
  </si>
  <si>
    <t xml:space="preserve">Otros</t>
  </si>
  <si>
    <t xml:space="preserve">Tacos (mtycasabeneltogo), cargo de tarjeta 5-sep 12:48, $103.</t>
  </si>
  <si>
    <t xml:space="preserve">PENDIENTE: no especificaste Uber de este día, ¿hubo gasto?</t>
  </si>
  <si>
    <t xml:space="preserve">Mercado Pago *muchoric, cargo de tarjeta 7-sep 22:08, $299. Otros: Oxxo $238.00.</t>
  </si>
  <si>
    <t xml:space="preserve">8-sep: $500, según Alberto.</t>
  </si>
  <si>
    <t xml:space="preserve">$1,600 según lo que dijiste; de eso, $327.62 ya tiene comprobante real (Uber, cargo de tarjeta 9-sep 23:40). El resto no tiene comprobante todavía. Otros: Oxxo $432.00.</t>
  </si>
  <si>
    <t xml:space="preserve">$400 ida y vuelta (10 al 25-sep), según Alberto.</t>
  </si>
  <si>
    <t xml:space="preserve">$400 ida y vuelta (10 al 25-sep), según Alberto. Otros: Oxxo $72.00.</t>
  </si>
  <si>
    <t xml:space="preserve">$400 ida y vuelta (10 al 25-sep), según Alberto. Otros: Oxxo $65.00 + Oxxo $199.00 + Oxxo $80.00 + Oxxo $74.50.</t>
  </si>
  <si>
    <t xml:space="preserve">$400 ida y vuelta (10 al 25-sep), según Alberto. Otros: 7 Eleven $46.00 + Oxxo $132.00 + Oxxo $409.00.</t>
  </si>
  <si>
    <t xml:space="preserve">$400 ida y vuelta (10 al 25-sep), según Alberto. Otros: Oxxo $120.90.</t>
  </si>
  <si>
    <t xml:space="preserve">$400 ida y vuelta (10 al 25-sep), según Alberto. Otros: 7 Eleven $136.50 + Oxxo $72.00.</t>
  </si>
  <si>
    <t xml:space="preserve">$400 ida y vuelta (10 al 25-sep), según Alberto. Otros: 7 Eleven $155.00.</t>
  </si>
  <si>
    <t xml:space="preserve">$400 ida y vuelta (10 al 25-sep), según Alberto. Otros: 7 Eleven $160.50.</t>
  </si>
  <si>
    <t xml:space="preserve">$400 ida y vuelta (10 al 25-sep), según Alberto. Otros: Oxxo $85.00.</t>
  </si>
  <si>
    <t xml:space="preserve">$400 ida y vuelta (10 al 25-sep), según Alberto. Otros: Oxxo $33.00 + Oxxo $639.50.</t>
  </si>
  <si>
    <t xml:space="preserve">$400 ida y vuelta (10 al 25-sep), según Alberto. Otros: 7 Eleven $214.00.</t>
  </si>
  <si>
    <t xml:space="preserve">TOTAL VIÁTICOS</t>
  </si>
  <si>
    <t xml:space="preserve">Las comidas que tienen ticket de Fresko ya están en Gastos (Lotes 2, 3 y 4); aquí solo lo que no tiene ticket.</t>
  </si>
  <si>
    <t xml:space="preserve">Otros: cargos de tarjeta en Oxxo y 7 Eleven (salidas, cenas, etc.), en el día que se hicieron.</t>
  </si>
  <si>
    <t xml:space="preserve">DETALLE DE TICKETS — artículo por artículo</t>
  </si>
  <si>
    <t xml:space="preserve">Cada ticket aparece en un renglón verde con su total; abajo, lo que se compró. Vale el total impreso en el ticket.</t>
  </si>
  <si>
    <t xml:space="preserve">Lote</t>
  </si>
  <si>
    <t xml:space="preserve">Ticket</t>
  </si>
  <si>
    <t xml:space="preserve">Hora</t>
  </si>
  <si>
    <t xml:space="preserve">Tienda</t>
  </si>
  <si>
    <t xml:space="preserve">Folio / referencia</t>
  </si>
  <si>
    <t xml:space="preserve">Pago</t>
  </si>
  <si>
    <t xml:space="preserve">Artículo</t>
  </si>
  <si>
    <t xml:space="preserve">Cant.</t>
  </si>
  <si>
    <t xml:space="preserve">Importe</t>
  </si>
  <si>
    <t xml:space="preserve">LOTE 1 · Material y herramienta</t>
  </si>
  <si>
    <t xml:space="preserve">6</t>
  </si>
  <si>
    <t xml:space="preserve">14:14</t>
  </si>
  <si>
    <t xml:space="preserve">462 70 4 4882</t>
  </si>
  <si>
    <t xml:space="preserve">Efectivo</t>
  </si>
  <si>
    <t xml:space="preserve">TOTAL DEL TICKET</t>
  </si>
  <si>
    <t xml:space="preserve">Guante Adir (pieza)</t>
  </si>
  <si>
    <t xml:space="preserve">Guante Osni (par)</t>
  </si>
  <si>
    <t xml:space="preserve">7</t>
  </si>
  <si>
    <t xml:space="preserve">18:47</t>
  </si>
  <si>
    <t xml:space="preserve">462 67 3 4973 / aut 716482</t>
  </si>
  <si>
    <t xml:space="preserve">Tarjeta</t>
  </si>
  <si>
    <t xml:space="preserve">Cordel Redac 15 m</t>
  </si>
  <si>
    <t xml:space="preserve">Cinta Scotch</t>
  </si>
  <si>
    <t xml:space="preserve">Tubo Sunny</t>
  </si>
  <si>
    <t xml:space="preserve">10</t>
  </si>
  <si>
    <t xml:space="preserve">19:02</t>
  </si>
  <si>
    <t xml:space="preserve">462 8024 22 4928 / aut 742432</t>
  </si>
  <si>
    <t xml:space="preserve">Cutter Truper</t>
  </si>
  <si>
    <t xml:space="preserve">8</t>
  </si>
  <si>
    <t xml:space="preserve">2026-09-10</t>
  </si>
  <si>
    <t xml:space="preserve">20:21</t>
  </si>
  <si>
    <t xml:space="preserve">462 57 8 5250 / aut 691057</t>
  </si>
  <si>
    <t xml:space="preserve">20</t>
  </si>
  <si>
    <t xml:space="preserve">2026-09-11</t>
  </si>
  <si>
    <t xml:space="preserve">12:35</t>
  </si>
  <si>
    <t xml:space="preserve">Solace Ferretería Leones</t>
  </si>
  <si>
    <t xml:space="preserve">Ticket 163403</t>
  </si>
  <si>
    <t xml:space="preserve">Mixto por costal 40 kg</t>
  </si>
  <si>
    <t xml:space="preserve">Tensor zinc 5/16" gancho-argolla</t>
  </si>
  <si>
    <t xml:space="preserve">Maniobra a pie de banqueta</t>
  </si>
  <si>
    <t xml:space="preserve">Costal para escombro</t>
  </si>
  <si>
    <t xml:space="preserve">14</t>
  </si>
  <si>
    <t xml:space="preserve">16:47</t>
  </si>
  <si>
    <t xml:space="preserve">462 66 7 5341 / aut 511662</t>
  </si>
  <si>
    <t xml:space="preserve">12</t>
  </si>
  <si>
    <t xml:space="preserve">12:33</t>
  </si>
  <si>
    <t xml:space="preserve">Ferre 2.22 El Nopalero</t>
  </si>
  <si>
    <t xml:space="preserve">Folio 47385</t>
  </si>
  <si>
    <t xml:space="preserve">Abrazadera D</t>
  </si>
  <si>
    <t xml:space="preserve">Manguera TRA</t>
  </si>
  <si>
    <t xml:space="preserve">Conector ROS</t>
  </si>
  <si>
    <t xml:space="preserve">Válvula check</t>
  </si>
  <si>
    <t xml:space="preserve">IVA</t>
  </si>
  <si>
    <t xml:space="preserve">3</t>
  </si>
  <si>
    <t xml:space="preserve">13:33</t>
  </si>
  <si>
    <t xml:space="preserve">462 8019 18 5336 / aut 824514</t>
  </si>
  <si>
    <t xml:space="preserve">Desarmador Pretul 4 piezas</t>
  </si>
  <si>
    <t xml:space="preserve">5</t>
  </si>
  <si>
    <t xml:space="preserve">18:36</t>
  </si>
  <si>
    <t xml:space="preserve">462 8023 21 5473 / aut 740845</t>
  </si>
  <si>
    <t xml:space="preserve">Extensión Argos</t>
  </si>
  <si>
    <t xml:space="preserve">Chocolate Nestlé</t>
  </si>
  <si>
    <t xml:space="preserve">4</t>
  </si>
  <si>
    <t xml:space="preserve">15:08</t>
  </si>
  <si>
    <t xml:space="preserve">462 41 4 5590 / aut 428564</t>
  </si>
  <si>
    <t xml:space="preserve">Candado Philips</t>
  </si>
  <si>
    <t xml:space="preserve">13</t>
  </si>
  <si>
    <t xml:space="preserve">15:16</t>
  </si>
  <si>
    <t xml:space="preserve">462 33 13 6627 / aut 202943</t>
  </si>
  <si>
    <t xml:space="preserve">Candado Hermex</t>
  </si>
  <si>
    <t xml:space="preserve">18</t>
  </si>
  <si>
    <t xml:space="preserve">17:06</t>
  </si>
  <si>
    <t xml:space="preserve">462 54 6 6259 / aut 559476</t>
  </si>
  <si>
    <t xml:space="preserve">Pintura Politec 6 piezas</t>
  </si>
  <si>
    <t xml:space="preserve">Pinceles pelo de búfalo</t>
  </si>
  <si>
    <t xml:space="preserve">Descuento promoción</t>
  </si>
  <si>
    <t xml:space="preserve">15</t>
  </si>
  <si>
    <t xml:space="preserve">19:01</t>
  </si>
  <si>
    <t xml:space="preserve">462 33 10 7605</t>
  </si>
  <si>
    <t xml:space="preserve">Pintura acrílica UE</t>
  </si>
  <si>
    <t xml:space="preserve">Pintura acrílica AM</t>
  </si>
  <si>
    <t xml:space="preserve">Pintura Fergero 6 piezas</t>
  </si>
  <si>
    <t xml:space="preserve">Pintura Dietrix</t>
  </si>
  <si>
    <t xml:space="preserve">Pinceles escolares</t>
  </si>
  <si>
    <t xml:space="preserve">Pastillas Mentos</t>
  </si>
  <si>
    <t xml:space="preserve">19</t>
  </si>
  <si>
    <t xml:space="preserve">2026-09-20</t>
  </si>
  <si>
    <t xml:space="preserve">20:32</t>
  </si>
  <si>
    <t xml:space="preserve">462 8026 24 5661 / aut 103248</t>
  </si>
  <si>
    <t xml:space="preserve">16</t>
  </si>
  <si>
    <t xml:space="preserve">2026-09-22</t>
  </si>
  <si>
    <t xml:space="preserve">16:00</t>
  </si>
  <si>
    <t xml:space="preserve">462 26 9 7191 / aut 403563</t>
  </si>
  <si>
    <t xml:space="preserve">Contacto Argos</t>
  </si>
  <si>
    <t xml:space="preserve">1</t>
  </si>
  <si>
    <t xml:space="preserve">Sin fecha</t>
  </si>
  <si>
    <t xml:space="preserve">Home Depot Cumbres</t>
  </si>
  <si>
    <t xml:space="preserve">Aprobada 368928</t>
  </si>
  <si>
    <t xml:space="preserve">TOTAL DEL TICKET — Foto cortada: no se ve la fecha</t>
  </si>
  <si>
    <t xml:space="preserve">Tubo PVC C40 1 1/2"</t>
  </si>
  <si>
    <t xml:space="preserve">Tubo PVC C40 1"</t>
  </si>
  <si>
    <t xml:space="preserve">Poliflex naranja</t>
  </si>
  <si>
    <t xml:space="preserve">Rotomartillo Ryobi 5/8"</t>
  </si>
  <si>
    <t xml:space="preserve">Descuento rotomartillo</t>
  </si>
  <si>
    <t xml:space="preserve">Cordón UR 2x14 negro (metros)</t>
  </si>
  <si>
    <t xml:space="preserve">Snickers 2 pack</t>
  </si>
  <si>
    <t xml:space="preserve">Chips jalapeño</t>
  </si>
  <si>
    <t xml:space="preserve">2</t>
  </si>
  <si>
    <t xml:space="preserve">—</t>
  </si>
  <si>
    <t xml:space="preserve">Tensor ojo-gancho</t>
  </si>
  <si>
    <t xml:space="preserve">Nudo para cable Veke</t>
  </si>
  <si>
    <t xml:space="preserve">9</t>
  </si>
  <si>
    <t xml:space="preserve">Home Depot García</t>
  </si>
  <si>
    <t xml:space="preserve">Aprobada 136008</t>
  </si>
  <si>
    <t xml:space="preserve">11</t>
  </si>
  <si>
    <t xml:space="preserve">Aprobada 367496</t>
  </si>
  <si>
    <t xml:space="preserve">Guardacabo Veker 1/8</t>
  </si>
  <si>
    <t xml:space="preserve">Tuerca hexagonal GR.5 fina</t>
  </si>
  <si>
    <t xml:space="preserve">Descuento liquidación</t>
  </si>
  <si>
    <t xml:space="preserve">17</t>
  </si>
  <si>
    <t xml:space="preserve">Aprobada 065626</t>
  </si>
  <si>
    <t xml:space="preserve">Válvula de bola 1/2</t>
  </si>
  <si>
    <t xml:space="preserve">Tubo CPVC 1/2 x 1 m</t>
  </si>
  <si>
    <t xml:space="preserve">Placa contacto doble</t>
  </si>
  <si>
    <t xml:space="preserve">Semillas hierba alba</t>
  </si>
  <si>
    <t xml:space="preserve">Cemento Flowguard 2 oz</t>
  </si>
  <si>
    <t xml:space="preserve">Clavija blindada 3x1</t>
  </si>
  <si>
    <t xml:space="preserve">Caja de empotrar</t>
  </si>
  <si>
    <t xml:space="preserve">Monster Energy</t>
  </si>
  <si>
    <t xml:space="preserve">Tuerca 1/2-13</t>
  </si>
  <si>
    <t xml:space="preserve">Tornillo cabeza hexagonal</t>
  </si>
  <si>
    <t xml:space="preserve">Total lote 1</t>
  </si>
  <si>
    <t xml:space="preserve">LOTE 2 · Hidratación y comidas (Fresko)</t>
  </si>
  <si>
    <t xml:space="preserve">L2-2</t>
  </si>
  <si>
    <t xml:space="preserve">14:18</t>
  </si>
  <si>
    <t xml:space="preserve">462 8024 22 5050 / aut 389815</t>
  </si>
  <si>
    <t xml:space="preserve">Refresco Coca-Cola</t>
  </si>
  <si>
    <t xml:space="preserve">L2-5</t>
  </si>
  <si>
    <t xml:space="preserve">15:52</t>
  </si>
  <si>
    <t xml:space="preserve">Fresko (cafetería)</t>
  </si>
  <si>
    <t xml:space="preserve">462 34 54 5393 / aut 203672</t>
  </si>
  <si>
    <t xml:space="preserve">Cappuccino 8 oz</t>
  </si>
  <si>
    <t xml:space="preserve">Leche</t>
  </si>
  <si>
    <t xml:space="preserve">L2-9</t>
  </si>
  <si>
    <t xml:space="preserve">17:08</t>
  </si>
  <si>
    <t xml:space="preserve">462 69 53 5320</t>
  </si>
  <si>
    <t xml:space="preserve">Cappuccino 16 oz</t>
  </si>
  <si>
    <t xml:space="preserve">L2-7</t>
  </si>
  <si>
    <t xml:space="preserve">16:02</t>
  </si>
  <si>
    <t xml:space="preserve">462 54 5 5134 / aut 169745</t>
  </si>
  <si>
    <t xml:space="preserve">Pollo entero Select (1.969 kg)</t>
  </si>
  <si>
    <t xml:space="preserve">Flecha de res suprema (0.825 kg)</t>
  </si>
  <si>
    <t xml:space="preserve">L2-6</t>
  </si>
  <si>
    <t xml:space="preserve">16:32</t>
  </si>
  <si>
    <t xml:space="preserve">462 8024 22 5216 / aut 874145</t>
  </si>
  <si>
    <t xml:space="preserve">Vasos Bio Products</t>
  </si>
  <si>
    <t xml:space="preserve">Chile jalapeño (0.19 kg)</t>
  </si>
  <si>
    <t xml:space="preserve">Tortilla de maíz (1.04 kg)</t>
  </si>
  <si>
    <t xml:space="preserve">L2-14</t>
  </si>
  <si>
    <t xml:space="preserve">17:38</t>
  </si>
  <si>
    <t xml:space="preserve">462 72 9 5783 / aut 094156</t>
  </si>
  <si>
    <t xml:space="preserve">Refresco Pepsi 2.5 L</t>
  </si>
  <si>
    <t xml:space="preserve">Boing 354 ml</t>
  </si>
  <si>
    <t xml:space="preserve">Electrolife</t>
  </si>
  <si>
    <t xml:space="preserve">L2-1</t>
  </si>
  <si>
    <t xml:space="preserve">17:23</t>
  </si>
  <si>
    <t xml:space="preserve">462 8026 24 5299 / aut 308635</t>
  </si>
  <si>
    <t xml:space="preserve">Ensalada de surimi (0.25 kg)</t>
  </si>
  <si>
    <t xml:space="preserve">Refresco Pepsi 400 ml</t>
  </si>
  <si>
    <t xml:space="preserve">L2-17</t>
  </si>
  <si>
    <t xml:space="preserve">16:34</t>
  </si>
  <si>
    <t xml:space="preserve">462 8026 24 5444 / aut 589102</t>
  </si>
  <si>
    <t xml:space="preserve">Café Olé 281 ml</t>
  </si>
  <si>
    <t xml:space="preserve">L2-10</t>
  </si>
  <si>
    <t xml:space="preserve">21:01</t>
  </si>
  <si>
    <t xml:space="preserve">462 8025 23 6287 / aut 689078</t>
  </si>
  <si>
    <t xml:space="preserve">Cerveza Noche Buena</t>
  </si>
  <si>
    <t xml:space="preserve">Vampiro de res pulpa (0.48 kg)</t>
  </si>
  <si>
    <t xml:space="preserve">Cereal Kellogg's 280 g</t>
  </si>
  <si>
    <t xml:space="preserve">Leche Lala 1 L</t>
  </si>
  <si>
    <t xml:space="preserve">Artículo no legible en la foto</t>
  </si>
  <si>
    <t xml:space="preserve">L2-13</t>
  </si>
  <si>
    <t xml:space="preserve">15:45</t>
  </si>
  <si>
    <t xml:space="preserve">462 36 54 7393 / aut 247334</t>
  </si>
  <si>
    <t xml:space="preserve">Espresso doble</t>
  </si>
  <si>
    <t xml:space="preserve">L2-11</t>
  </si>
  <si>
    <t xml:space="preserve">17:19</t>
  </si>
  <si>
    <t xml:space="preserve">462 32 53 8269</t>
  </si>
  <si>
    <t xml:space="preserve">Moka</t>
  </si>
  <si>
    <t xml:space="preserve">L2-12</t>
  </si>
  <si>
    <t xml:space="preserve">19:32</t>
  </si>
  <si>
    <t xml:space="preserve">462 8022 20 6580 / aut 331646</t>
  </si>
  <si>
    <t xml:space="preserve">Pocari Sweat</t>
  </si>
  <si>
    <t xml:space="preserve">Cebolla de rabo (0.36 kg)</t>
  </si>
  <si>
    <t xml:space="preserve">Flecha de res suprema (1.175 kg)</t>
  </si>
  <si>
    <t xml:space="preserve">L2-19</t>
  </si>
  <si>
    <t xml:space="preserve">15:03</t>
  </si>
  <si>
    <t xml:space="preserve">462 8021 19 7096 / aut 227736</t>
  </si>
  <si>
    <t xml:space="preserve">Caramelo Laposse</t>
  </si>
  <si>
    <t xml:space="preserve">L2-18</t>
  </si>
  <si>
    <t xml:space="preserve">15:26</t>
  </si>
  <si>
    <t xml:space="preserve">462 8017 16 5544 / aut 160546</t>
  </si>
  <si>
    <t xml:space="preserve">Jugo sandía-menta</t>
  </si>
  <si>
    <t xml:space="preserve">Ensalada de surimi (0.17 kg)</t>
  </si>
  <si>
    <t xml:space="preserve">Ensalada de camarón (0.215 kg)</t>
  </si>
  <si>
    <t xml:space="preserve">L2-8</t>
  </si>
  <si>
    <t xml:space="preserve">16:09</t>
  </si>
  <si>
    <t xml:space="preserve">462 8024 22 6828 / aut 574486</t>
  </si>
  <si>
    <t xml:space="preserve">Papas Barcel 240 g</t>
  </si>
  <si>
    <t xml:space="preserve">L2-4</t>
  </si>
  <si>
    <t xml:space="preserve">18:02</t>
  </si>
  <si>
    <t xml:space="preserve">462 8024 22 6843 / aut 008411</t>
  </si>
  <si>
    <t xml:space="preserve">Jugo naranja-melón</t>
  </si>
  <si>
    <t xml:space="preserve">L2-16</t>
  </si>
  <si>
    <t xml:space="preserve">19:26</t>
  </si>
  <si>
    <t xml:space="preserve">462 54 7 7152 / aut 781736</t>
  </si>
  <si>
    <t xml:space="preserve">Cigarros Lucky Strike</t>
  </si>
  <si>
    <t xml:space="preserve">Galleta Nestlé 15 g</t>
  </si>
  <si>
    <t xml:space="preserve">L2-3</t>
  </si>
  <si>
    <t xml:space="preserve">20:59</t>
  </si>
  <si>
    <t xml:space="preserve">462 8021 19 7288 / aut 346761</t>
  </si>
  <si>
    <t xml:space="preserve">Sopa Cup Noodles</t>
  </si>
  <si>
    <t xml:space="preserve">Bebida Jack Daniel's</t>
  </si>
  <si>
    <t xml:space="preserve">Agua Peñafiel 1 L</t>
  </si>
  <si>
    <t xml:space="preserve">L2-15</t>
  </si>
  <si>
    <t xml:space="preserve">2026-09-23</t>
  </si>
  <si>
    <t xml:space="preserve">18:55</t>
  </si>
  <si>
    <t xml:space="preserve">462 26 4 6329</t>
  </si>
  <si>
    <t xml:space="preserve">Pastillas Tic Tac</t>
  </si>
  <si>
    <t xml:space="preserve">Total lote 2</t>
  </si>
  <si>
    <t xml:space="preserve">LOTE 3 · Hidratación y comidas (Fresko)</t>
  </si>
  <si>
    <t xml:space="preserve">L3-3</t>
  </si>
  <si>
    <t xml:space="preserve">07:14</t>
  </si>
  <si>
    <t xml:space="preserve">462 33 6 4763</t>
  </si>
  <si>
    <t xml:space="preserve">Ligas Fanelle 14 piezas</t>
  </si>
  <si>
    <t xml:space="preserve">L3-7</t>
  </si>
  <si>
    <t xml:space="preserve">462 8024 22 4884 / aut 313473</t>
  </si>
  <si>
    <t xml:space="preserve">Jugo de tuna 500 ml</t>
  </si>
  <si>
    <t xml:space="preserve">Jugo de guayaba 500 ml</t>
  </si>
  <si>
    <t xml:space="preserve">L3-2</t>
  </si>
  <si>
    <t xml:space="preserve">11:53</t>
  </si>
  <si>
    <t xml:space="preserve">462 55 8 5114 / aut 354213</t>
  </si>
  <si>
    <t xml:space="preserve">Norteña Select (0.6 kg)</t>
  </si>
  <si>
    <t xml:space="preserve">L3-5</t>
  </si>
  <si>
    <t xml:space="preserve">15:07</t>
  </si>
  <si>
    <t xml:space="preserve">462 29 12 5265</t>
  </si>
  <si>
    <t xml:space="preserve">Refresco Pepsi 600 ml</t>
  </si>
  <si>
    <t xml:space="preserve">L3-1</t>
  </si>
  <si>
    <t xml:space="preserve">16:11</t>
  </si>
  <si>
    <t xml:space="preserve">462 69 53 5295 / aut 076713</t>
  </si>
  <si>
    <t xml:space="preserve">L3-8</t>
  </si>
  <si>
    <t xml:space="preserve">10:13</t>
  </si>
  <si>
    <t xml:space="preserve">462 32 3 5248</t>
  </si>
  <si>
    <t xml:space="preserve">Alimento Marusia</t>
  </si>
  <si>
    <t xml:space="preserve">L3-11</t>
  </si>
  <si>
    <t xml:space="preserve">17:24</t>
  </si>
  <si>
    <t xml:space="preserve">462 8023 21 5453 / aut 742993</t>
  </si>
  <si>
    <t xml:space="preserve">Agua Lourdes 600 ml</t>
  </si>
  <si>
    <t xml:space="preserve">Flecha de cerdo (1.02 kg)</t>
  </si>
  <si>
    <t xml:space="preserve">Mango Ataulfo (0.37 kg)</t>
  </si>
  <si>
    <t xml:space="preserve">Chile cuaresmeño (0.19 kg)</t>
  </si>
  <si>
    <t xml:space="preserve">Pera blanca (0.21 kg)</t>
  </si>
  <si>
    <t xml:space="preserve">Cebolla cambray</t>
  </si>
  <si>
    <t xml:space="preserve">L3-10</t>
  </si>
  <si>
    <t xml:space="preserve">14:06</t>
  </si>
  <si>
    <t xml:space="preserve">462 31 53 6836 / aut 586988</t>
  </si>
  <si>
    <t xml:space="preserve">L3-6</t>
  </si>
  <si>
    <t xml:space="preserve">16:29</t>
  </si>
  <si>
    <t xml:space="preserve">Folio poco legible</t>
  </si>
  <si>
    <t xml:space="preserve">TOTAL DEL TICKET — Partidas leídas de foto borrosa; vale el total impreso</t>
  </si>
  <si>
    <t xml:space="preserve">Powerade 1 L</t>
  </si>
  <si>
    <t xml:space="preserve">Agua Santa María 1.5 L</t>
  </si>
  <si>
    <t xml:space="preserve">Papas Sabritas 150 g</t>
  </si>
  <si>
    <t xml:space="preserve">Diferencia contra el total impreso (partidas no legibles)</t>
  </si>
  <si>
    <t xml:space="preserve">L3-9</t>
  </si>
  <si>
    <t xml:space="preserve">17:15</t>
  </si>
  <si>
    <t xml:space="preserve">462 8026 24 5364 / aut 100187</t>
  </si>
  <si>
    <t xml:space="preserve">Bebida Lifeway 946 ml</t>
  </si>
  <si>
    <t xml:space="preserve">L3-4</t>
  </si>
  <si>
    <t xml:space="preserve">17:32</t>
  </si>
  <si>
    <t xml:space="preserve">462 8025 23 6524 / aut 140383</t>
  </si>
  <si>
    <t xml:space="preserve">Jugo de guayaba 1 L</t>
  </si>
  <si>
    <t xml:space="preserve">Total lote 3</t>
  </si>
  <si>
    <t xml:space="preserve">LOTE 4 · Hidratación: agua, hielo y refrescos</t>
  </si>
  <si>
    <t xml:space="preserve">L4-1</t>
  </si>
  <si>
    <t xml:space="preserve">Agua Golden Hills 5 L</t>
  </si>
  <si>
    <t xml:space="preserve">Hielo Frizy 5 kg</t>
  </si>
  <si>
    <t xml:space="preserve">Agua Peñafiel 2 L</t>
  </si>
  <si>
    <t xml:space="preserve">Chocolate</t>
  </si>
  <si>
    <t xml:space="preserve">L4-2</t>
  </si>
  <si>
    <t xml:space="preserve">14:39</t>
  </si>
  <si>
    <t xml:space="preserve">462 27 9 7368</t>
  </si>
  <si>
    <t xml:space="preserve">L4-3</t>
  </si>
  <si>
    <t xml:space="preserve">TOTAL DEL TICKET — Foto cortada y partidas poco legibles; vale el total impreso</t>
  </si>
  <si>
    <t xml:space="preserve">Refresco Pepsi</t>
  </si>
  <si>
    <t xml:space="preserve">Agua Peñafiel</t>
  </si>
  <si>
    <t xml:space="preserve">Frituras Sabritas</t>
  </si>
  <si>
    <t xml:space="preserve">L4-4</t>
  </si>
  <si>
    <t xml:space="preserve">aut 434482</t>
  </si>
  <si>
    <t xml:space="preserve">Rafia</t>
  </si>
  <si>
    <t xml:space="preserve">L4-5</t>
  </si>
  <si>
    <t xml:space="preserve">Cubeta plástica</t>
  </si>
  <si>
    <t xml:space="preserve">Paño</t>
  </si>
  <si>
    <t xml:space="preserve">L4-6</t>
  </si>
  <si>
    <t xml:space="preserve">10:03</t>
  </si>
  <si>
    <t xml:space="preserve">462 26 12 5345</t>
  </si>
  <si>
    <t xml:space="preserve">L4-7</t>
  </si>
  <si>
    <t xml:space="preserve">aut 723066</t>
  </si>
  <si>
    <t xml:space="preserve">TOTAL DEL TICKET — Foto cortada; el detalle línea por línea no es confiable, vale el total impreso</t>
  </si>
  <si>
    <t xml:space="preserve">Varios: papas, frituras, refrescos, agua de garrafón, hielo</t>
  </si>
  <si>
    <t xml:space="preserve">L4-8</t>
  </si>
  <si>
    <t xml:space="preserve">14:09</t>
  </si>
  <si>
    <t xml:space="preserve">462 8027 25 5920 / aut 503256</t>
  </si>
  <si>
    <t xml:space="preserve">Refresco Squirt 2.5 L</t>
  </si>
  <si>
    <t xml:space="preserve">L4-9</t>
  </si>
  <si>
    <t xml:space="preserve">20:30</t>
  </si>
  <si>
    <t xml:space="preserve">462 8026 24 5279 / aut 912857</t>
  </si>
  <si>
    <t xml:space="preserve">Refresco Pepsi 1.5 L</t>
  </si>
  <si>
    <t xml:space="preserve">Descuento promoción 2x1</t>
  </si>
  <si>
    <t xml:space="preserve">L4-10</t>
  </si>
  <si>
    <t xml:space="preserve">17:35</t>
  </si>
  <si>
    <t xml:space="preserve">462 26 12 7430 / aut 141462</t>
  </si>
  <si>
    <t xml:space="preserve">Bebida Cifrut</t>
  </si>
  <si>
    <t xml:space="preserve">Suerox 630 ml</t>
  </si>
  <si>
    <t xml:space="preserve">L4-11</t>
  </si>
  <si>
    <t xml:space="preserve">aut 043866</t>
  </si>
  <si>
    <t xml:space="preserve">TOTAL DEL TICKET — Foto cortada. En la misma operación hubo un retiro de efectivo de $1,500 que NO se cuenta aquí</t>
  </si>
  <si>
    <t xml:space="preserve">Cuchillo Tramontina</t>
  </si>
  <si>
    <t xml:space="preserve">Tenedor Tramontina</t>
  </si>
  <si>
    <t xml:space="preserve">L4-12</t>
  </si>
  <si>
    <t xml:space="preserve">12:29</t>
  </si>
  <si>
    <t xml:space="preserve">462 26 12 5373 / aut 045675</t>
  </si>
  <si>
    <t xml:space="preserve">L4-13</t>
  </si>
  <si>
    <t xml:space="preserve">14:01</t>
  </si>
  <si>
    <t xml:space="preserve">462 54 12 6898 / aut 888997</t>
  </si>
  <si>
    <t xml:space="preserve">Refresco Pepsi 3 L</t>
  </si>
  <si>
    <t xml:space="preserve">L4-14</t>
  </si>
  <si>
    <t xml:space="preserve">09:52</t>
  </si>
  <si>
    <t xml:space="preserve">462 73 6 5308 / aut 167727</t>
  </si>
  <si>
    <t xml:space="preserve">TOTAL DEL TICKET — Partidas parcialmente legibles; vale el total impreso</t>
  </si>
  <si>
    <t xml:space="preserve">Bebida OKF 500 ml</t>
  </si>
  <si>
    <t xml:space="preserve">Agua de coco 330 ml</t>
  </si>
  <si>
    <t xml:space="preserve">L4-15</t>
  </si>
  <si>
    <t xml:space="preserve">14:17</t>
  </si>
  <si>
    <t xml:space="preserve">462 8019 18 5918 / aut 006929</t>
  </si>
  <si>
    <t xml:space="preserve">Bebida Volt 473 ml</t>
  </si>
  <si>
    <t xml:space="preserve">L4-16</t>
  </si>
  <si>
    <t xml:space="preserve">14:02</t>
  </si>
  <si>
    <t xml:space="preserve">462 54 12 6900</t>
  </si>
  <si>
    <t xml:space="preserve">Total lote 4</t>
  </si>
  <si>
    <t xml:space="preserve">CARGOS DE TARJETA EN FRESKO VALLE CUMBRES (estado de cuenta) — sin duplicados</t>
  </si>
  <si>
    <t xml:space="preserve">54 cargos del 9 al 24-sep. 39 son las mismas compras que ya están en los tickets de los lotes (mismo monto y mismo día; en la foto del ticket se ve el pago con tarjeta), por eso no se vuelven a contar. Un cargo de $1,679.05 es el ticket L4-11 ($179.05) más un retiro de efectivo de $1,500 en caja, que no es compra. Solo se cuentan los 14 cargos que no tienen ticket en los lotes.</t>
  </si>
  <si>
    <t xml:space="preserve">Comercio</t>
  </si>
  <si>
    <t xml:space="preserve">¿Ya está en un ticket de los lotes?</t>
  </si>
  <si>
    <t xml:space="preserve">Se cuenta en el cuadre</t>
  </si>
  <si>
    <t xml:space="preserve">Sí: ticket L2-2 del lote 2 (10-sep 14:18)</t>
  </si>
  <si>
    <t xml:space="preserve">Sí: ticket 8 del lote 1 (10-sep 20:21)</t>
  </si>
  <si>
    <t xml:space="preserve">Sí: ticket 10 del lote 1 (09-sep 19:02)</t>
  </si>
  <si>
    <t xml:space="preserve">Sí: ticket L3-1 del lote 3 (10-sep 16:11)</t>
  </si>
  <si>
    <t xml:space="preserve">Sí: ticket L3-7 del lote 3 (09-sep 16:02)</t>
  </si>
  <si>
    <t xml:space="preserve">No</t>
  </si>
  <si>
    <t xml:space="preserve">Sí: ticket 7 del lote 1 (09-sep 18:47)</t>
  </si>
  <si>
    <t xml:space="preserve">Sí: ticket 14 del lote 1 (11-sep 16:47)</t>
  </si>
  <si>
    <t xml:space="preserve">Sí: ticket L2-6 del lote 2 (11-sep 16:32)</t>
  </si>
  <si>
    <t xml:space="preserve">Sí: ticket L3-2 del lote 3 (10-sep 11:53)</t>
  </si>
  <si>
    <t xml:space="preserve">Sí: ticket L2-7 del lote 2 (11-sep 16:02)</t>
  </si>
  <si>
    <t xml:space="preserve">Sí: ticket L4-14 del lote 4 (11-sep 09:52)</t>
  </si>
  <si>
    <t xml:space="preserve">Sí: ticket L4-11 del lote 4 ($179.05) + retiro de efectivo de $1,500 en caja (no es compra)</t>
  </si>
  <si>
    <t xml:space="preserve">Sí: ticket 3 del lote 1 (12-sep 13:33)</t>
  </si>
  <si>
    <t xml:space="preserve">Sí: ticket L4-9 del lote 4 (13-sep 20:30)</t>
  </si>
  <si>
    <t xml:space="preserve">Sí: ticket L3-11 del lote 3 (13-sep 17:24)</t>
  </si>
  <si>
    <t xml:space="preserve">Sí: ticket 5 del lote 1 (13-sep 18:36)</t>
  </si>
  <si>
    <t xml:space="preserve">Sí: ticket L2-1 del lote 2 (14-sep 17:23)</t>
  </si>
  <si>
    <t xml:space="preserve">Sí: ticket 13 del lote 1 (15-sep 15:16)</t>
  </si>
  <si>
    <t xml:space="preserve">Sí: ticket L3-10 del lote 3 (15-sep 14:06)</t>
  </si>
  <si>
    <t xml:space="preserve">Sí: ticket L3-9 del lote 3 (15-sep 17:15)</t>
  </si>
  <si>
    <t xml:space="preserve">Sí: ticket 4 del lote 1 (15-sep 15:08)</t>
  </si>
  <si>
    <t xml:space="preserve">Sí: ticket L2-17 del lote 2 (17-sep 16:34)</t>
  </si>
  <si>
    <t xml:space="preserve">Sí: ticket 18 del lote 1 (17-sep 17:06)</t>
  </si>
  <si>
    <t xml:space="preserve">Sí: ticket L4-4 del lote 4 (sin fecha en la foto)</t>
  </si>
  <si>
    <t xml:space="preserve">Sí: ticket L2-13 del lote 2 (18-sep 15:45)</t>
  </si>
  <si>
    <t xml:space="preserve">Sí: ticket L4-13 del lote 4 (18-sep 14:01)</t>
  </si>
  <si>
    <t xml:space="preserve">Sí: ticket L2-10 del lote 2 (17-sep 21:01)</t>
  </si>
  <si>
    <t xml:space="preserve">Sí: ticket L3-4 del lote 3 (19-sep 17:32)</t>
  </si>
  <si>
    <t xml:space="preserve">Sí: ticket 19 del lote 1 (20-sep 20:32)</t>
  </si>
  <si>
    <t xml:space="preserve">Sí: ticket L2-12 del lote 2 (20-sep 19:32)</t>
  </si>
  <si>
    <t xml:space="preserve">Sí: ticket L2-19 del lote 2 (21-sep 15:03)</t>
  </si>
  <si>
    <t xml:space="preserve">Sí: ticket L4-10 del lote 4 (21-sep 17:35)</t>
  </si>
  <si>
    <t xml:space="preserve">Sí: ticket L2-18 del lote 2 (21-sep 15:26)</t>
  </si>
  <si>
    <t xml:space="preserve">Sí: ticket L4-8 del lote 4 (21-sep 14:09)</t>
  </si>
  <si>
    <t xml:space="preserve">Sí: ticket 16 del lote 1 (22-sep 16:00)</t>
  </si>
  <si>
    <t xml:space="preserve">Sí: ticket L2-4 del lote 2 (22-sep 18:02)</t>
  </si>
  <si>
    <t xml:space="preserve">Sí: ticket L2-8 del lote 2 (22-sep 16:09)</t>
  </si>
  <si>
    <t xml:space="preserve">Sí: ticket L2-16 del lote 2 (22-sep 19:26)</t>
  </si>
  <si>
    <t xml:space="preserve">Sí: ticket L2-3 del lote 2 (22-sep 20:59)</t>
  </si>
  <si>
    <t xml:space="preserve">Sí: ticket L4-7 del lote 4 (sin fecha en la foto)</t>
  </si>
  <si>
    <t xml:space="preserve">TOTAL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</si>
</sst>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\$#,##0.00;&quot;($&quot;#,##0.00\);\-"/>
    <numFmt numFmtId="166" formatCode="0"/>
    <numFmt numFmtId="167" formatCode="\$#,##0.00;&quot;-$&quot;#,##0.00;\-"/>
    <numFmt numFmtId="168" formatCode="dd/mm/yyyy"/>
  </numFmts>
  <fonts count="20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theme="1"/>
      <name val="Arial"/>
      <family val="0"/>
      <charset val="1"/>
    </font>
    <font>
      <i val="true"/>
      <sz val="11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color theme="1"/>
      <name val="Arial"/>
      <family val="0"/>
      <charset val="1"/>
    </font>
    <font>
      <b val="true"/>
      <sz val="11"/>
      <color rgb="FF008000"/>
      <name val="Arial"/>
      <family val="0"/>
      <charset val="1"/>
    </font>
    <font>
      <sz val="11"/>
      <color theme="1"/>
      <name val="Arial"/>
      <family val="0"/>
      <charset val="1"/>
    </font>
    <font>
      <sz val="11"/>
      <color rgb="FF008000"/>
      <name val="Arial"/>
      <family val="0"/>
      <charset val="1"/>
    </font>
    <font>
      <b val="true"/>
      <sz val="11"/>
      <color rgb="FFC00000"/>
      <name val="Arial"/>
      <family val="0"/>
      <charset val="1"/>
    </font>
    <font>
      <sz val="11"/>
      <color rgb="FF0000FF"/>
      <name val="Arial"/>
      <family val="0"/>
      <charset val="1"/>
    </font>
    <font>
      <i val="true"/>
      <sz val="11"/>
      <color rgb="FFC00000"/>
      <name val="Arial"/>
      <family val="0"/>
      <charset val="1"/>
    </font>
    <font>
      <b val="true"/>
      <sz val="13"/>
      <color rgb="FF0B5D2E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1"/>
      <color rgb="FF0B5D2E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E2EFDA"/>
        <bgColor rgb="FFEAF3EC"/>
      </patternFill>
    </fill>
    <fill>
      <patternFill patternType="solid">
        <fgColor rgb="FFFFFF00"/>
        <bgColor rgb="FFFFFF00"/>
      </patternFill>
    </fill>
    <fill>
      <patternFill patternType="solid">
        <fgColor rgb="FF0B5D2E"/>
        <bgColor rgb="FF008000"/>
      </patternFill>
    </fill>
    <fill>
      <patternFill patternType="solid">
        <fgColor rgb="FFEAF3EC"/>
        <bgColor rgb="FFE2EFDA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/>
      <diagonal/>
    </border>
    <border diagonalUp="false" diagonalDown="false">
      <left/>
      <right/>
      <top/>
      <bottom style="thin">
        <color rgb="FFDDDDD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7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2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7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2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2" fillId="4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2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6" fillId="5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8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8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9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9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6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EAF3EC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F3864"/>
      <rgbColor rgb="FF339966"/>
      <rgbColor rgb="FF0B5D2E"/>
      <rgbColor rgb="FF333300"/>
      <rgbColor rgb="FF993300"/>
      <rgbColor rgb="FF993366"/>
      <rgbColor rgb="FF333399"/>
      <rgbColor rgb="FF59595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zeroHeight="false" outlineLevelRow="0" outlineLevelCol="0"/>
  <cols>
    <col collapsed="false" customWidth="true" hidden="false" outlineLevel="0" max="1" min="1" style="1" width="62"/>
    <col collapsed="false" customWidth="true" hidden="false" outlineLevel="0" max="2" min="2" style="1" width="18"/>
    <col collapsed="false" customWidth="true" hidden="false" outlineLevel="0" max="6" min="3" style="1" width="8.71"/>
  </cols>
  <sheetData>
    <row r="1" customFormat="false" ht="17.25" hidden="false" customHeight="true" outlineLevel="0" collapsed="false">
      <c r="A1" s="2" t="s">
        <v>0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customFormat="false" ht="15" hidden="false" customHeight="true" outlineLevel="0" collapsed="false">
      <c r="A2" s="3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customFormat="false" ht="15" hidden="false" customHeight="true" outlineLevel="0" collapsed="false"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customFormat="false" ht="15" hidden="false" customHeight="true" outlineLevel="0" collapsed="false">
      <c r="A4" s="4" t="s">
        <v>1</v>
      </c>
      <c r="B4" s="4" t="s">
        <v>2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customFormat="false" ht="15" hidden="false" customHeight="true" outlineLevel="0" collapsed="false">
      <c r="A5" s="5" t="s">
        <v>3</v>
      </c>
      <c r="B5" s="6" t="n">
        <f aca="false">Depositos!E24</f>
        <v>294350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customFormat="false" ht="15" hidden="false" customHeight="true" outlineLevel="0" collapsed="false">
      <c r="A6" s="7" t="s">
        <v>4</v>
      </c>
      <c r="B6" s="8" t="n">
        <f aca="false">Depositos!E25</f>
        <v>294350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customFormat="false" ht="15" hidden="false" customHeight="true" outlineLevel="0" collapsed="false">
      <c r="A7" s="7" t="s">
        <v>5</v>
      </c>
      <c r="B7" s="8" t="n">
        <f aca="false">Depositos!E26</f>
        <v>0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customFormat="false" ht="15" hidden="false" customHeight="true" outlineLevel="0" collapsed="false"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customFormat="false" ht="15" hidden="false" customHeight="true" outlineLevel="0" collapsed="false">
      <c r="A9" s="4" t="s">
        <v>6</v>
      </c>
      <c r="B9" s="4" t="s">
        <v>2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customFormat="false" ht="15" hidden="false" customHeight="true" outlineLevel="0" collapsed="false">
      <c r="A10" s="7" t="s">
        <v>7</v>
      </c>
      <c r="B10" s="8" t="n">
        <f aca="false">SUMIF(Gastos!B5:B28,"Macetas",Gastos!F5:F28)</f>
        <v>43200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customFormat="false" ht="15" hidden="false" customHeight="true" outlineLevel="0" collapsed="false">
      <c r="A11" s="7" t="s">
        <v>8</v>
      </c>
      <c r="B11" s="8" t="n">
        <f aca="false">SUMIF(Gastos!B5:B28,"Mástiles",Gastos!F5:F28)</f>
        <v>20745.39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customFormat="false" ht="15" hidden="false" customHeight="true" outlineLevel="0" collapsed="false">
      <c r="A12" s="7" t="s">
        <v>9</v>
      </c>
      <c r="B12" s="8" t="n">
        <f aca="false">SUMIF(Gastos!B5:B28,"Hospedaje",Gastos!F5:F28)</f>
        <v>15049.5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customFormat="false" ht="15" hidden="false" customHeight="true" outlineLevel="0" collapsed="false">
      <c r="A13" s="7" t="s">
        <v>10</v>
      </c>
      <c r="B13" s="8" t="n">
        <f aca="false">SUMIF(Gastos!B5:B28,"Nómina",Gastos!F5:F28)</f>
        <v>30150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customFormat="false" ht="15" hidden="false" customHeight="true" outlineLevel="0" collapsed="false">
      <c r="A14" s="7" t="s">
        <v>11</v>
      </c>
      <c r="B14" s="8" t="n">
        <f aca="false">SUMIF(Gastos!B5:B28,"Transporte",Gastos!F5:F28)</f>
        <v>6675.8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customFormat="false" ht="15" hidden="false" customHeight="true" outlineLevel="0" collapsed="false">
      <c r="A15" s="7" t="s">
        <v>12</v>
      </c>
      <c r="B15" s="8" t="n">
        <f aca="false">SUMIF(Gastos!B5:B28,"Material y herramienta",Gastos!F5:F28)</f>
        <v>9732.24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customFormat="false" ht="15" hidden="false" customHeight="true" outlineLevel="0" collapsed="false">
      <c r="A16" s="7" t="s">
        <v>13</v>
      </c>
      <c r="B16" s="8" t="n">
        <f aca="false">SUMIF(Gastos!B5:B28,"Hidratación del equipo (agua, hielo, bebidas) y comidas dentro de Fresko",Gastos!F5:F28)</f>
        <v>11208.78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customFormat="false" ht="15" hidden="false" customHeight="true" outlineLevel="0" collapsed="false">
      <c r="A17" s="7" t="s">
        <v>14</v>
      </c>
      <c r="B17" s="8" t="n">
        <f aca="false">Nomina!E23</f>
        <v>129850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customFormat="false" ht="15" hidden="false" customHeight="true" outlineLevel="0" collapsed="false">
      <c r="A18" s="7" t="s">
        <v>15</v>
      </c>
      <c r="B18" s="8" t="n">
        <f aca="false">Viaticos!E27</f>
        <v>16265.9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customFormat="false" ht="15" hidden="false" customHeight="true" outlineLevel="0" collapsed="false">
      <c r="A19" s="7" t="s">
        <v>16</v>
      </c>
      <c r="B19" s="8" t="n">
        <f aca="false">SUMIF(Gastos!B5:B28,"Personal (no Fresko)",Gastos!F5:F28)</f>
        <v>5000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customFormat="false" ht="15" hidden="false" customHeight="true" outlineLevel="0" collapsed="false">
      <c r="A20" s="9" t="s">
        <v>17</v>
      </c>
      <c r="B20" s="10" t="n">
        <f aca="false">SUM(B10:B19)</f>
        <v>287877.61</v>
      </c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customFormat="false" ht="15" hidden="false" customHeight="true" outlineLevel="0" collapsed="false"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customFormat="false" ht="15" hidden="false" customHeight="true" outlineLevel="0" collapsed="false">
      <c r="A22" s="4" t="s">
        <v>18</v>
      </c>
      <c r="B22" s="4" t="s">
        <v>2</v>
      </c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customFormat="false" ht="15" hidden="false" customHeight="true" outlineLevel="0" collapsed="false">
      <c r="A23" s="9" t="s">
        <v>19</v>
      </c>
      <c r="B23" s="10" t="n">
        <f aca="false">B5-B20</f>
        <v>6472.39000000001</v>
      </c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customFormat="false" ht="15.75" hidden="false" customHeight="true" outlineLevel="0" collapsed="false">
      <c r="A24" s="11" t="str">
        <f aca="false">IF(B23&gt;0,"Te sobra dinero de Aldo: falta justificar o devolver esta cantidad",IF(B23&lt;0,"Pusiste dinero de tu bolsa: Aldo te debe esta cantidad","Cuadra exacto"))</f>
        <v>Te sobra dinero de Aldo: falta justificar o devolver esta cantidad</v>
      </c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customFormat="false" ht="15" hidden="false" customHeight="true" outlineLevel="0" collapsed="false"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customFormat="false" ht="15" hidden="false" customHeight="true" outlineLevel="0" collapsed="false">
      <c r="A26" s="4" t="s">
        <v>20</v>
      </c>
      <c r="B26" s="4" t="s">
        <v>21</v>
      </c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customFormat="false" ht="15" hidden="false" customHeight="true" outlineLevel="0" collapsed="false">
      <c r="A27" s="7" t="s">
        <v>22</v>
      </c>
      <c r="B27" s="12" t="n">
        <f aca="false">COUNTBLANK(Gastos!F5:F28)</f>
        <v>1</v>
      </c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customFormat="false" ht="15" hidden="false" customHeight="true" outlineLevel="0" collapsed="false">
      <c r="A28" s="7" t="s">
        <v>23</v>
      </c>
      <c r="B28" s="12" t="n">
        <f aca="false">COUNTIF(Depositos!G5:G22,"NO")</f>
        <v>0</v>
      </c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customFormat="false" ht="15.75" hidden="false" customHeight="true" outlineLevel="0" collapsed="false">
      <c r="A29" s="7" t="s">
        <v>24</v>
      </c>
      <c r="B29" s="12" t="n">
        <f aca="false">COUNTBLANK(Nomina!B6:B21)</f>
        <v>0</v>
      </c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customFormat="false" ht="15" hidden="false" customHeight="true" outlineLevel="0" collapsed="false"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customFormat="false" ht="15.75" hidden="false" customHeight="true" outlineLevel="0" collapsed="false">
      <c r="A31" s="3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customFormat="false" ht="15.75" hidden="false" customHeight="true" outlineLevel="0" collapsed="false"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customFormat="false" ht="15.75" hidden="false" customHeight="true" outlineLevel="0" collapsed="false"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customFormat="false" ht="15.75" hidden="false" customHeight="true" outlineLevel="0" collapsed="false"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customFormat="false" ht="15.75" hidden="false" customHeight="true" outlineLevel="0" collapsed="false"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customFormat="false" ht="15.75" hidden="false" customHeight="true" outlineLevel="0" collapsed="false"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customFormat="false" ht="15.75" hidden="false" customHeight="true" outlineLevel="0" collapsed="false"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customFormat="false" ht="15.75" hidden="false" customHeight="true" outlineLevel="0" collapsed="false"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customFormat="false" ht="15.75" hidden="false" customHeight="true" outlineLevel="0" collapsed="false"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customFormat="false" ht="15.75" hidden="false" customHeight="true" outlineLevel="0" collapsed="false"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customFormat="false" ht="15.75" hidden="false" customHeight="true" outlineLevel="0" collapsed="false"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customFormat="false" ht="15.75" hidden="false" customHeight="true" outlineLevel="0" collapsed="false"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customFormat="false" ht="15.75" hidden="false" customHeight="true" outlineLevel="0" collapsed="false"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customFormat="false" ht="15.75" hidden="false" customHeight="true" outlineLevel="0" collapsed="false"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customFormat="false" ht="15.75" hidden="false" customHeight="true" outlineLevel="0" collapsed="false"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customFormat="false" ht="15.75" hidden="false" customHeight="true" outlineLevel="0" collapsed="false"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customFormat="false" ht="15.75" hidden="false" customHeight="true" outlineLevel="0" collapsed="false"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customFormat="false" ht="15.75" hidden="false" customHeight="true" outlineLevel="0" collapsed="false"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customFormat="false" ht="15.75" hidden="false" customHeight="true" outlineLevel="0" collapsed="false"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customFormat="false" ht="15.75" hidden="false" customHeight="true" outlineLevel="0" collapsed="false"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customFormat="false" ht="15.75" hidden="false" customHeight="true" outlineLevel="0" collapsed="false"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customFormat="false" ht="15.75" hidden="false" customHeight="true" outlineLevel="0" collapsed="false"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customFormat="false" ht="15.75" hidden="false" customHeight="true" outlineLevel="0" collapsed="false"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customFormat="false" ht="15.75" hidden="false" customHeight="true" outlineLevel="0" collapsed="false"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customFormat="false" ht="15.75" hidden="false" customHeight="true" outlineLevel="0" collapsed="false"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customFormat="false" ht="15.75" hidden="false" customHeight="true" outlineLevel="0" collapsed="false"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customFormat="false" ht="15.75" hidden="false" customHeight="true" outlineLevel="0" collapsed="false"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customFormat="false" ht="15.75" hidden="false" customHeight="true" outlineLevel="0" collapsed="false"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customFormat="false" ht="15.75" hidden="false" customHeight="true" outlineLevel="0" collapsed="false"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customFormat="false" ht="15.75" hidden="false" customHeight="true" outlineLevel="0" collapsed="false"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customFormat="false" ht="15.75" hidden="false" customHeight="true" outlineLevel="0" collapsed="false"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customFormat="false" ht="15.75" hidden="false" customHeight="true" outlineLevel="0" collapsed="false"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customFormat="false" ht="15.75" hidden="false" customHeight="true" outlineLevel="0" collapsed="false"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customFormat="false" ht="15.75" hidden="false" customHeight="true" outlineLevel="0" collapsed="false"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customFormat="false" ht="15.75" hidden="false" customHeight="true" outlineLevel="0" collapsed="false"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customFormat="false" ht="15.75" hidden="false" customHeight="true" outlineLevel="0" collapsed="false"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customFormat="false" ht="15.75" hidden="false" customHeight="true" outlineLevel="0" collapsed="false"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customFormat="false" ht="15.75" hidden="false" customHeight="true" outlineLevel="0" collapsed="false"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customFormat="false" ht="15.75" hidden="false" customHeight="true" outlineLevel="0" collapsed="false"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customFormat="false" ht="15.75" hidden="false" customHeight="true" outlineLevel="0" collapsed="false"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customFormat="false" ht="15.75" hidden="false" customHeight="true" outlineLevel="0" collapsed="false"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customFormat="false" ht="15.75" hidden="false" customHeight="true" outlineLevel="0" collapsed="false"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customFormat="false" ht="15.75" hidden="false" customHeight="true" outlineLevel="0" collapsed="false"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customFormat="false" ht="15.75" hidden="false" customHeight="true" outlineLevel="0" collapsed="false"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customFormat="false" ht="15.75" hidden="false" customHeight="true" outlineLevel="0" collapsed="false"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customFormat="false" ht="15.75" hidden="false" customHeight="true" outlineLevel="0" collapsed="false"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customFormat="false" ht="15.75" hidden="false" customHeight="true" outlineLevel="0" collapsed="false"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customFormat="false" ht="15.75" hidden="false" customHeight="true" outlineLevel="0" collapsed="false"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customFormat="false" ht="15.75" hidden="false" customHeight="true" outlineLevel="0" collapsed="false"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customFormat="false" ht="15.75" hidden="false" customHeight="true" outlineLevel="0" collapsed="false"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customFormat="false" ht="15.75" hidden="false" customHeight="true" outlineLevel="0" collapsed="false"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customFormat="false" ht="15.75" hidden="false" customHeight="true" outlineLevel="0" collapsed="false"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customFormat="false" ht="15.75" hidden="false" customHeight="true" outlineLevel="0" collapsed="false"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customFormat="false" ht="15.75" hidden="false" customHeight="true" outlineLevel="0" collapsed="false"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customFormat="false" ht="15.75" hidden="false" customHeight="true" outlineLevel="0" collapsed="false"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customFormat="false" ht="15.75" hidden="false" customHeight="true" outlineLevel="0" collapsed="false"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customFormat="false" ht="15.75" hidden="false" customHeight="true" outlineLevel="0" collapsed="false"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customFormat="false" ht="15.75" hidden="false" customHeight="true" outlineLevel="0" collapsed="false"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customFormat="false" ht="15.75" hidden="false" customHeight="true" outlineLevel="0" collapsed="false"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customFormat="false" ht="15.75" hidden="false" customHeight="true" outlineLevel="0" collapsed="false"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customFormat="false" ht="15.75" hidden="false" customHeight="true" outlineLevel="0" collapsed="false"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customFormat="false" ht="15.75" hidden="false" customHeight="true" outlineLevel="0" collapsed="false"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customFormat="false" ht="15.75" hidden="false" customHeight="true" outlineLevel="0" collapsed="false"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customFormat="false" ht="15.75" hidden="false" customHeight="true" outlineLevel="0" collapsed="false"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customFormat="false" ht="15.75" hidden="false" customHeight="true" outlineLevel="0" collapsed="false"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customFormat="false" ht="15.75" hidden="false" customHeight="true" outlineLevel="0" collapsed="false"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customFormat="false" ht="15.75" hidden="false" customHeight="true" outlineLevel="0" collapsed="false"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customFormat="false" ht="15.75" hidden="false" customHeight="true" outlineLevel="0" collapsed="false"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customFormat="false" ht="15.75" hidden="false" customHeight="true" outlineLevel="0" collapsed="false"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customFormat="false" ht="15.75" hidden="false" customHeight="true" outlineLevel="0" collapsed="false"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customFormat="false" ht="15.75" hidden="false" customHeight="true" outlineLevel="0" collapsed="false"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customFormat="false" ht="15.75" hidden="false" customHeight="true" outlineLevel="0" collapsed="false"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customFormat="false" ht="15.75" hidden="false" customHeight="true" outlineLevel="0" collapsed="false"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customFormat="false" ht="15.75" hidden="false" customHeight="true" outlineLevel="0" collapsed="false"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customFormat="false" ht="15.75" hidden="false" customHeight="true" outlineLevel="0" collapsed="false"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customFormat="false" ht="15.75" hidden="false" customHeight="true" outlineLevel="0" collapsed="false"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customFormat="false" ht="15.75" hidden="false" customHeight="true" outlineLevel="0" collapsed="false"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customFormat="false" ht="15.75" hidden="false" customHeight="true" outlineLevel="0" collapsed="false"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customFormat="false" ht="15.75" hidden="false" customHeight="true" outlineLevel="0" collapsed="false"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customFormat="false" ht="15.75" hidden="false" customHeight="true" outlineLevel="0" collapsed="false"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customFormat="false" ht="15.75" hidden="false" customHeight="true" outlineLevel="0" collapsed="false"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customFormat="false" ht="15.75" hidden="false" customHeight="true" outlineLevel="0" collapsed="false"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customFormat="false" ht="15.75" hidden="false" customHeight="true" outlineLevel="0" collapsed="false"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customFormat="false" ht="15.75" hidden="false" customHeight="true" outlineLevel="0" collapsed="false"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customFormat="false" ht="15.75" hidden="false" customHeight="true" outlineLevel="0" collapsed="false"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customFormat="false" ht="15.75" hidden="false" customHeight="true" outlineLevel="0" collapsed="false"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customFormat="false" ht="15.75" hidden="false" customHeight="true" outlineLevel="0" collapsed="false"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customFormat="false" ht="15.75" hidden="false" customHeight="true" outlineLevel="0" collapsed="false"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customFormat="false" ht="15.75" hidden="false" customHeight="true" outlineLevel="0" collapsed="false"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customFormat="false" ht="15.75" hidden="false" customHeight="true" outlineLevel="0" collapsed="false"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customFormat="false" ht="15.75" hidden="false" customHeight="true" outlineLevel="0" collapsed="false"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customFormat="false" ht="15.75" hidden="false" customHeight="true" outlineLevel="0" collapsed="false"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customFormat="false" ht="15.75" hidden="false" customHeight="true" outlineLevel="0" collapsed="false"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customFormat="false" ht="15.75" hidden="false" customHeight="true" outlineLevel="0" collapsed="false"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customFormat="false" ht="15.75" hidden="false" customHeight="true" outlineLevel="0" collapsed="false"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customFormat="false" ht="15.75" hidden="false" customHeight="true" outlineLevel="0" collapsed="false"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customFormat="false" ht="15.75" hidden="false" customHeight="true" outlineLevel="0" collapsed="false"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customFormat="false" ht="15.75" hidden="false" customHeight="true" outlineLevel="0" collapsed="false"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customFormat="false" ht="15.75" hidden="false" customHeight="true" outlineLevel="0" collapsed="false"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customFormat="false" ht="15.75" hidden="false" customHeight="true" outlineLevel="0" collapsed="false"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customFormat="false" ht="15.75" hidden="false" customHeight="true" outlineLevel="0" collapsed="false"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customFormat="false" ht="15.75" hidden="false" customHeight="true" outlineLevel="0" collapsed="false"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customFormat="false" ht="15.75" hidden="false" customHeight="true" outlineLevel="0" collapsed="false"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customFormat="false" ht="15.75" hidden="false" customHeight="true" outlineLevel="0" collapsed="false"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customFormat="false" ht="15.75" hidden="false" customHeight="true" outlineLevel="0" collapsed="false"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customFormat="false" ht="15.75" hidden="false" customHeight="true" outlineLevel="0" collapsed="false"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customFormat="false" ht="15.75" hidden="false" customHeight="true" outlineLevel="0" collapsed="false"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customFormat="false" ht="15.75" hidden="false" customHeight="true" outlineLevel="0" collapsed="false"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customFormat="false" ht="15.75" hidden="false" customHeight="true" outlineLevel="0" collapsed="false"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customFormat="false" ht="15.75" hidden="false" customHeight="true" outlineLevel="0" collapsed="false"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customFormat="false" ht="15.75" hidden="false" customHeight="true" outlineLevel="0" collapsed="false"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customFormat="false" ht="15.75" hidden="false" customHeight="true" outlineLevel="0" collapsed="false"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customFormat="false" ht="15.75" hidden="false" customHeight="true" outlineLevel="0" collapsed="false"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customFormat="false" ht="15.75" hidden="false" customHeight="true" outlineLevel="0" collapsed="false"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customFormat="false" ht="15.75" hidden="false" customHeight="true" outlineLevel="0" collapsed="false"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customFormat="false" ht="15.75" hidden="false" customHeight="true" outlineLevel="0" collapsed="false"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customFormat="false" ht="15.75" hidden="false" customHeight="true" outlineLevel="0" collapsed="false"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customFormat="false" ht="15.75" hidden="false" customHeight="true" outlineLevel="0" collapsed="false"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customFormat="false" ht="15.75" hidden="false" customHeight="true" outlineLevel="0" collapsed="false"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customFormat="false" ht="15.75" hidden="false" customHeight="true" outlineLevel="0" collapsed="false"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customFormat="false" ht="15.75" hidden="false" customHeight="true" outlineLevel="0" collapsed="false"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customFormat="false" ht="15.75" hidden="false" customHeight="true" outlineLevel="0" collapsed="false"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customFormat="false" ht="15.75" hidden="false" customHeight="true" outlineLevel="0" collapsed="false"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customFormat="false" ht="15.75" hidden="false" customHeight="true" outlineLevel="0" collapsed="false"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customFormat="false" ht="15.75" hidden="false" customHeight="true" outlineLevel="0" collapsed="false"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customFormat="false" ht="15.75" hidden="false" customHeight="true" outlineLevel="0" collapsed="false"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customFormat="false" ht="15.75" hidden="false" customHeight="true" outlineLevel="0" collapsed="false"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customFormat="false" ht="15.75" hidden="false" customHeight="true" outlineLevel="0" collapsed="false"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customFormat="false" ht="15.75" hidden="false" customHeight="true" outlineLevel="0" collapsed="false"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customFormat="false" ht="15.75" hidden="false" customHeight="true" outlineLevel="0" collapsed="false"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customFormat="false" ht="15.75" hidden="false" customHeight="true" outlineLevel="0" collapsed="false"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customFormat="false" ht="15.75" hidden="false" customHeight="true" outlineLevel="0" collapsed="false"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customFormat="false" ht="15.75" hidden="false" customHeight="true" outlineLevel="0" collapsed="false"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customFormat="false" ht="15.75" hidden="false" customHeight="true" outlineLevel="0" collapsed="false"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customFormat="false" ht="15.75" hidden="false" customHeight="true" outlineLevel="0" collapsed="false"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customFormat="false" ht="15.75" hidden="false" customHeight="true" outlineLevel="0" collapsed="false"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customFormat="false" ht="15.75" hidden="false" customHeight="true" outlineLevel="0" collapsed="false"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customFormat="false" ht="15.75" hidden="false" customHeight="true" outlineLevel="0" collapsed="false"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customFormat="false" ht="15.75" hidden="false" customHeight="true" outlineLevel="0" collapsed="false"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customFormat="false" ht="15.75" hidden="false" customHeight="true" outlineLevel="0" collapsed="false"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customFormat="false" ht="15.75" hidden="false" customHeight="true" outlineLevel="0" collapsed="false"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customFormat="false" ht="15.75" hidden="false" customHeight="true" outlineLevel="0" collapsed="false"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customFormat="false" ht="15.75" hidden="false" customHeight="true" outlineLevel="0" collapsed="false"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customFormat="false" ht="15.75" hidden="false" customHeight="true" outlineLevel="0" collapsed="false"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customFormat="false" ht="15.75" hidden="false" customHeight="true" outlineLevel="0" collapsed="false"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customFormat="false" ht="15.75" hidden="false" customHeight="true" outlineLevel="0" collapsed="false"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customFormat="false" ht="15.75" hidden="false" customHeight="true" outlineLevel="0" collapsed="false"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customFormat="false" ht="15.75" hidden="false" customHeight="true" outlineLevel="0" collapsed="false"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customFormat="false" ht="15.75" hidden="false" customHeight="true" outlineLevel="0" collapsed="false"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customFormat="false" ht="15.75" hidden="false" customHeight="true" outlineLevel="0" collapsed="false"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customFormat="false" ht="15.75" hidden="false" customHeight="true" outlineLevel="0" collapsed="false"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customFormat="false" ht="15.75" hidden="false" customHeight="true" outlineLevel="0" collapsed="false"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customFormat="false" ht="15.75" hidden="false" customHeight="true" outlineLevel="0" collapsed="false"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customFormat="false" ht="15.75" hidden="false" customHeight="true" outlineLevel="0" collapsed="false"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customFormat="false" ht="15.75" hidden="false" customHeight="true" outlineLevel="0" collapsed="false"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customFormat="false" ht="15.75" hidden="false" customHeight="true" outlineLevel="0" collapsed="false"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customFormat="false" ht="15.75" hidden="false" customHeight="true" outlineLevel="0" collapsed="false"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customFormat="false" ht="15.75" hidden="false" customHeight="true" outlineLevel="0" collapsed="false"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customFormat="false" ht="15.75" hidden="false" customHeight="true" outlineLevel="0" collapsed="false"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customFormat="false" ht="15.75" hidden="false" customHeight="true" outlineLevel="0" collapsed="false"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customFormat="false" ht="15.75" hidden="false" customHeight="true" outlineLevel="0" collapsed="false"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customFormat="false" ht="15.75" hidden="false" customHeight="true" outlineLevel="0" collapsed="false"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customFormat="false" ht="15.75" hidden="false" customHeight="true" outlineLevel="0" collapsed="false"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customFormat="false" ht="15.75" hidden="false" customHeight="true" outlineLevel="0" collapsed="false"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customFormat="false" ht="15.75" hidden="false" customHeight="true" outlineLevel="0" collapsed="false"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customFormat="false" ht="15.75" hidden="false" customHeight="true" outlineLevel="0" collapsed="false"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customFormat="false" ht="15.75" hidden="false" customHeight="true" outlineLevel="0" collapsed="false"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customFormat="false" ht="15.75" hidden="false" customHeight="true" outlineLevel="0" collapsed="false"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customFormat="false" ht="15.75" hidden="false" customHeight="true" outlineLevel="0" collapsed="false"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customFormat="false" ht="15.75" hidden="false" customHeight="true" outlineLevel="0" collapsed="false"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customFormat="false" ht="15.75" hidden="false" customHeight="true" outlineLevel="0" collapsed="false"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customFormat="false" ht="15.75" hidden="false" customHeight="true" outlineLevel="0" collapsed="false"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customFormat="false" ht="15.75" hidden="false" customHeight="true" outlineLevel="0" collapsed="false"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customFormat="false" ht="15.75" hidden="false" customHeight="true" outlineLevel="0" collapsed="false"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customFormat="false" ht="15.75" hidden="false" customHeight="true" outlineLevel="0" collapsed="false"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customFormat="false" ht="15.75" hidden="false" customHeight="true" outlineLevel="0" collapsed="false"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customFormat="false" ht="15.75" hidden="false" customHeight="true" outlineLevel="0" collapsed="false"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customFormat="false" ht="15.75" hidden="false" customHeight="true" outlineLevel="0" collapsed="false"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customFormat="false" ht="15.75" hidden="false" customHeight="true" outlineLevel="0" collapsed="false"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customFormat="false" ht="15.75" hidden="false" customHeight="true" outlineLevel="0" collapsed="false"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customFormat="false" ht="15.75" hidden="false" customHeight="true" outlineLevel="0" collapsed="false"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customFormat="false" ht="15.75" hidden="false" customHeight="true" outlineLevel="0" collapsed="false"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customFormat="false" ht="15.75" hidden="false" customHeight="true" outlineLevel="0" collapsed="false"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customFormat="false" ht="15.75" hidden="false" customHeight="true" outlineLevel="0" collapsed="false"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customFormat="false" ht="15.75" hidden="false" customHeight="true" outlineLevel="0" collapsed="false"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customFormat="false" ht="15.75" hidden="false" customHeight="true" outlineLevel="0" collapsed="false"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customFormat="false" ht="15.75" hidden="false" customHeight="true" outlineLevel="0" collapsed="false"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customFormat="false" ht="15.75" hidden="false" customHeight="true" outlineLevel="0" collapsed="false"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customFormat="false" ht="15.75" hidden="false" customHeight="true" outlineLevel="0" collapsed="false"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customFormat="false" ht="15.75" hidden="false" customHeight="true" outlineLevel="0" collapsed="false"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customFormat="false" ht="15.75" hidden="false" customHeight="true" outlineLevel="0" collapsed="false"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customFormat="false" ht="15.75" hidden="false" customHeight="true" outlineLevel="0" collapsed="false"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customFormat="false" ht="15.75" hidden="false" customHeight="true" outlineLevel="0" collapsed="false"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customFormat="false" ht="15.75" hidden="false" customHeight="true" outlineLevel="0" collapsed="false"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customFormat="false" ht="15.75" hidden="false" customHeight="true" outlineLevel="0" collapsed="false"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customFormat="false" ht="15.75" hidden="false" customHeight="true" outlineLevel="0" collapsed="false"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customFormat="false" ht="15.75" hidden="false" customHeight="true" outlineLevel="0" collapsed="false"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customFormat="false" ht="15.75" hidden="false" customHeight="true" outlineLevel="0" collapsed="false"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customFormat="false" ht="15.75" hidden="false" customHeight="true" outlineLevel="0" collapsed="false"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customFormat="false" ht="15.75" hidden="false" customHeight="true" outlineLevel="0" collapsed="false"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customFormat="false" ht="15.75" hidden="false" customHeight="true" outlineLevel="0" collapsed="false"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customFormat="false" ht="15.75" hidden="false" customHeight="true" outlineLevel="0" collapsed="false"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customFormat="false" ht="15.75" hidden="false" customHeight="true" outlineLevel="0" collapsed="false"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customFormat="false" ht="15.75" hidden="false" customHeight="true" outlineLevel="0" collapsed="false"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customFormat="false" ht="15.75" hidden="false" customHeight="true" outlineLevel="0" collapsed="false"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customFormat="false" ht="15.75" hidden="false" customHeight="true" outlineLevel="0" collapsed="false"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customFormat="false" ht="15.75" hidden="false" customHeight="true" outlineLevel="0" collapsed="false"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customFormat="false" ht="15.75" hidden="false" customHeight="true" outlineLevel="0" collapsed="false"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customFormat="false" ht="15.75" hidden="false" customHeight="true" outlineLevel="0" collapsed="false"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customFormat="false" ht="15.75" hidden="false" customHeight="true" outlineLevel="0" collapsed="false"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customFormat="false" ht="15.75" hidden="false" customHeight="true" outlineLevel="0" collapsed="false"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customFormat="false" ht="15.75" hidden="false" customHeight="true" outlineLevel="0" collapsed="false"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customFormat="false" ht="15.75" hidden="false" customHeight="true" outlineLevel="0" collapsed="false"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customFormat="false" ht="15.75" hidden="false" customHeight="true" outlineLevel="0" collapsed="false"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customFormat="false" ht="15.75" hidden="false" customHeight="true" outlineLevel="0" collapsed="false"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customFormat="false" ht="15.75" hidden="false" customHeight="true" outlineLevel="0" collapsed="false"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customFormat="false" ht="15.75" hidden="false" customHeight="true" outlineLevel="0" collapsed="false"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customFormat="false" ht="15.75" hidden="false" customHeight="true" outlineLevel="0" collapsed="false"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customFormat="false" ht="15.75" hidden="false" customHeight="true" outlineLevel="0" collapsed="false"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customFormat="false" ht="15.75" hidden="false" customHeight="true" outlineLevel="0" collapsed="false"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customFormat="false" ht="15.75" hidden="false" customHeight="true" outlineLevel="0" collapsed="false"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customFormat="false" ht="15.75" hidden="false" customHeight="true" outlineLevel="0" collapsed="false"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customFormat="false" ht="15.75" hidden="false" customHeight="true" outlineLevel="0" collapsed="false"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customFormat="false" ht="15.75" hidden="false" customHeight="true" outlineLevel="0" collapsed="false"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customFormat="false" ht="15.75" hidden="false" customHeight="true" outlineLevel="0" collapsed="false"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customFormat="false" ht="15.75" hidden="false" customHeight="true" outlineLevel="0" collapsed="false"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customFormat="false" ht="15.75" hidden="false" customHeight="true" outlineLevel="0" collapsed="false"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customFormat="false" ht="15.75" hidden="false" customHeight="true" outlineLevel="0" collapsed="false"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customFormat="false" ht="15.75" hidden="false" customHeight="true" outlineLevel="0" collapsed="false"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customFormat="false" ht="15.75" hidden="false" customHeight="true" outlineLevel="0" collapsed="false"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customFormat="false" ht="15.75" hidden="false" customHeight="true" outlineLevel="0" collapsed="false"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customFormat="false" ht="15.75" hidden="false" customHeight="true" outlineLevel="0" collapsed="false"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customFormat="false" ht="15.75" hidden="false" customHeight="true" outlineLevel="0" collapsed="false"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customFormat="false" ht="15.75" hidden="false" customHeight="true" outlineLevel="0" collapsed="false"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customFormat="false" ht="15.75" hidden="false" customHeight="true" outlineLevel="0" collapsed="false"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customFormat="false" ht="15.75" hidden="false" customHeight="true" outlineLevel="0" collapsed="false"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customFormat="false" ht="15.75" hidden="false" customHeight="true" outlineLevel="0" collapsed="false"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customFormat="false" ht="15.75" hidden="false" customHeight="true" outlineLevel="0" collapsed="false"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customFormat="false" ht="15.75" hidden="false" customHeight="true" outlineLevel="0" collapsed="false"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customFormat="false" ht="15.75" hidden="false" customHeight="true" outlineLevel="0" collapsed="false"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customFormat="false" ht="15.75" hidden="false" customHeight="true" outlineLevel="0" collapsed="false"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customFormat="false" ht="15.75" hidden="false" customHeight="true" outlineLevel="0" collapsed="false"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customFormat="false" ht="15.75" hidden="false" customHeight="true" outlineLevel="0" collapsed="false"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customFormat="false" ht="15.75" hidden="false" customHeight="true" outlineLevel="0" collapsed="false"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customFormat="false" ht="15.75" hidden="false" customHeight="true" outlineLevel="0" collapsed="false"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customFormat="false" ht="15.75" hidden="false" customHeight="true" outlineLevel="0" collapsed="false"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customFormat="false" ht="15.75" hidden="false" customHeight="true" outlineLevel="0" collapsed="false"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customFormat="false" ht="15.75" hidden="false" customHeight="true" outlineLevel="0" collapsed="false"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customFormat="false" ht="15.75" hidden="false" customHeight="true" outlineLevel="0" collapsed="false"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customFormat="false" ht="15.75" hidden="false" customHeight="true" outlineLevel="0" collapsed="false"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customFormat="false" ht="15.75" hidden="false" customHeight="true" outlineLevel="0" collapsed="false"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customFormat="false" ht="15.75" hidden="false" customHeight="true" outlineLevel="0" collapsed="false"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customFormat="false" ht="15.75" hidden="false" customHeight="true" outlineLevel="0" collapsed="false"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customFormat="false" ht="15.75" hidden="false" customHeight="true" outlineLevel="0" collapsed="false"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customFormat="false" ht="15.75" hidden="false" customHeight="true" outlineLevel="0" collapsed="false"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customFormat="false" ht="15.75" hidden="false" customHeight="true" outlineLevel="0" collapsed="false"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customFormat="false" ht="15.75" hidden="false" customHeight="true" outlineLevel="0" collapsed="false"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customFormat="false" ht="15.75" hidden="false" customHeight="true" outlineLevel="0" collapsed="false"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customFormat="false" ht="15.75" hidden="false" customHeight="true" outlineLevel="0" collapsed="false"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customFormat="false" ht="15.75" hidden="false" customHeight="true" outlineLevel="0" collapsed="false"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customFormat="false" ht="15.75" hidden="false" customHeight="true" outlineLevel="0" collapsed="false"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customFormat="false" ht="15.75" hidden="false" customHeight="true" outlineLevel="0" collapsed="false"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customFormat="false" ht="15.75" hidden="false" customHeight="true" outlineLevel="0" collapsed="false"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customFormat="false" ht="15.75" hidden="false" customHeight="true" outlineLevel="0" collapsed="false"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customFormat="false" ht="15.75" hidden="false" customHeight="true" outlineLevel="0" collapsed="false"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customFormat="false" ht="15.75" hidden="false" customHeight="true" outlineLevel="0" collapsed="false"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customFormat="false" ht="15.75" hidden="false" customHeight="true" outlineLevel="0" collapsed="false"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customFormat="false" ht="15.75" hidden="false" customHeight="true" outlineLevel="0" collapsed="false"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customFormat="false" ht="15.75" hidden="false" customHeight="true" outlineLevel="0" collapsed="false"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customFormat="false" ht="15.75" hidden="false" customHeight="true" outlineLevel="0" collapsed="false"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customFormat="false" ht="15.75" hidden="false" customHeight="true" outlineLevel="0" collapsed="false"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customFormat="false" ht="15.75" hidden="false" customHeight="true" outlineLevel="0" collapsed="false"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customFormat="false" ht="15.75" hidden="false" customHeight="true" outlineLevel="0" collapsed="false"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customFormat="false" ht="15.75" hidden="false" customHeight="true" outlineLevel="0" collapsed="false"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customFormat="false" ht="15.75" hidden="false" customHeight="true" outlineLevel="0" collapsed="false"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customFormat="false" ht="15.75" hidden="false" customHeight="true" outlineLevel="0" collapsed="false"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customFormat="false" ht="15.75" hidden="false" customHeight="true" outlineLevel="0" collapsed="false"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customFormat="false" ht="15.75" hidden="false" customHeight="true" outlineLevel="0" collapsed="false"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customFormat="false" ht="15.75" hidden="false" customHeight="true" outlineLevel="0" collapsed="false"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customFormat="false" ht="15.75" hidden="false" customHeight="true" outlineLevel="0" collapsed="false"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customFormat="false" ht="15.75" hidden="false" customHeight="true" outlineLevel="0" collapsed="false"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customFormat="false" ht="15.75" hidden="false" customHeight="true" outlineLevel="0" collapsed="false"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customFormat="false" ht="15.75" hidden="false" customHeight="true" outlineLevel="0" collapsed="false"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customFormat="false" ht="15.75" hidden="false" customHeight="true" outlineLevel="0" collapsed="false"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customFormat="false" ht="15.75" hidden="false" customHeight="true" outlineLevel="0" collapsed="false"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customFormat="false" ht="15.75" hidden="false" customHeight="true" outlineLevel="0" collapsed="false"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customFormat="false" ht="15.75" hidden="false" customHeight="true" outlineLevel="0" collapsed="false"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customFormat="false" ht="15.75" hidden="false" customHeight="true" outlineLevel="0" collapsed="false"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customFormat="false" ht="15.75" hidden="false" customHeight="true" outlineLevel="0" collapsed="false"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customFormat="false" ht="15.75" hidden="false" customHeight="true" outlineLevel="0" collapsed="false"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customFormat="false" ht="15.75" hidden="false" customHeight="true" outlineLevel="0" collapsed="false"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customFormat="false" ht="15.75" hidden="false" customHeight="true" outlineLevel="0" collapsed="false"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customFormat="false" ht="15.75" hidden="false" customHeight="true" outlineLevel="0" collapsed="false"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customFormat="false" ht="15.75" hidden="false" customHeight="true" outlineLevel="0" collapsed="false"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customFormat="false" ht="15.75" hidden="false" customHeight="true" outlineLevel="0" collapsed="false"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customFormat="false" ht="15.75" hidden="false" customHeight="true" outlineLevel="0" collapsed="false"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customFormat="false" ht="15.75" hidden="false" customHeight="true" outlineLevel="0" collapsed="false"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customFormat="false" ht="15.75" hidden="false" customHeight="true" outlineLevel="0" collapsed="false"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customFormat="false" ht="15.75" hidden="false" customHeight="true" outlineLevel="0" collapsed="false"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customFormat="false" ht="15.75" hidden="false" customHeight="true" outlineLevel="0" collapsed="false"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customFormat="false" ht="15.75" hidden="false" customHeight="true" outlineLevel="0" collapsed="false"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customFormat="false" ht="15.75" hidden="false" customHeight="true" outlineLevel="0" collapsed="false"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customFormat="false" ht="15.75" hidden="false" customHeight="true" outlineLevel="0" collapsed="false"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customFormat="false" ht="15.75" hidden="false" customHeight="true" outlineLevel="0" collapsed="false"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customFormat="false" ht="15.75" hidden="false" customHeight="true" outlineLevel="0" collapsed="false"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customFormat="false" ht="15.75" hidden="false" customHeight="true" outlineLevel="0" collapsed="false"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customFormat="false" ht="15.75" hidden="false" customHeight="true" outlineLevel="0" collapsed="false"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customFormat="false" ht="15.75" hidden="false" customHeight="true" outlineLevel="0" collapsed="false"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customFormat="false" ht="15.75" hidden="false" customHeight="true" outlineLevel="0" collapsed="false"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customFormat="false" ht="15.75" hidden="false" customHeight="true" outlineLevel="0" collapsed="false"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customFormat="false" ht="15.75" hidden="false" customHeight="true" outlineLevel="0" collapsed="false"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customFormat="false" ht="15.75" hidden="false" customHeight="true" outlineLevel="0" collapsed="false"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customFormat="false" ht="15.75" hidden="false" customHeight="true" outlineLevel="0" collapsed="false"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customFormat="false" ht="15.75" hidden="false" customHeight="true" outlineLevel="0" collapsed="false"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customFormat="false" ht="15.75" hidden="false" customHeight="true" outlineLevel="0" collapsed="false"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customFormat="false" ht="15.75" hidden="false" customHeight="true" outlineLevel="0" collapsed="false"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customFormat="false" ht="15.75" hidden="false" customHeight="true" outlineLevel="0" collapsed="false"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customFormat="false" ht="15.75" hidden="false" customHeight="true" outlineLevel="0" collapsed="false"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customFormat="false" ht="15.75" hidden="false" customHeight="true" outlineLevel="0" collapsed="false"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customFormat="false" ht="15.75" hidden="false" customHeight="true" outlineLevel="0" collapsed="false"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customFormat="false" ht="15.75" hidden="false" customHeight="true" outlineLevel="0" collapsed="false"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customFormat="false" ht="15.75" hidden="false" customHeight="true" outlineLevel="0" collapsed="false"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customFormat="false" ht="15.75" hidden="false" customHeight="true" outlineLevel="0" collapsed="false"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customFormat="false" ht="15.75" hidden="false" customHeight="true" outlineLevel="0" collapsed="false"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customFormat="false" ht="15.75" hidden="false" customHeight="true" outlineLevel="0" collapsed="false"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customFormat="false" ht="15.75" hidden="false" customHeight="true" outlineLevel="0" collapsed="false"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customFormat="false" ht="15.75" hidden="false" customHeight="true" outlineLevel="0" collapsed="false"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customFormat="false" ht="15.75" hidden="false" customHeight="true" outlineLevel="0" collapsed="false"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customFormat="false" ht="15.75" hidden="false" customHeight="true" outlineLevel="0" collapsed="false"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customFormat="false" ht="15.75" hidden="false" customHeight="true" outlineLevel="0" collapsed="false"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customFormat="false" ht="15.75" hidden="false" customHeight="true" outlineLevel="0" collapsed="false"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customFormat="false" ht="15.75" hidden="false" customHeight="true" outlineLevel="0" collapsed="false"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customFormat="false" ht="15.75" hidden="false" customHeight="true" outlineLevel="0" collapsed="false"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customFormat="false" ht="15.75" hidden="false" customHeight="true" outlineLevel="0" collapsed="false"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customFormat="false" ht="15.75" hidden="false" customHeight="true" outlineLevel="0" collapsed="false"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customFormat="false" ht="15.75" hidden="false" customHeight="true" outlineLevel="0" collapsed="false"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customFormat="false" ht="15.75" hidden="false" customHeight="true" outlineLevel="0" collapsed="false"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customFormat="false" ht="15.75" hidden="false" customHeight="true" outlineLevel="0" collapsed="false"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customFormat="false" ht="15.75" hidden="false" customHeight="true" outlineLevel="0" collapsed="false"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customFormat="false" ht="15.75" hidden="false" customHeight="true" outlineLevel="0" collapsed="false"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customFormat="false" ht="15.75" hidden="false" customHeight="true" outlineLevel="0" collapsed="false"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customFormat="false" ht="15.75" hidden="false" customHeight="true" outlineLevel="0" collapsed="false"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customFormat="false" ht="15.75" hidden="false" customHeight="true" outlineLevel="0" collapsed="false"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customFormat="false" ht="15.75" hidden="false" customHeight="true" outlineLevel="0" collapsed="false"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customFormat="false" ht="15.75" hidden="false" customHeight="true" outlineLevel="0" collapsed="false"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customFormat="false" ht="15.75" hidden="false" customHeight="true" outlineLevel="0" collapsed="false"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customFormat="false" ht="15.75" hidden="false" customHeight="true" outlineLevel="0" collapsed="false"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customFormat="false" ht="15.75" hidden="false" customHeight="true" outlineLevel="0" collapsed="false"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customFormat="false" ht="15.75" hidden="false" customHeight="true" outlineLevel="0" collapsed="false"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customFormat="false" ht="15.75" hidden="false" customHeight="true" outlineLevel="0" collapsed="false"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customFormat="false" ht="15.75" hidden="false" customHeight="true" outlineLevel="0" collapsed="false"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customFormat="false" ht="15.75" hidden="false" customHeight="true" outlineLevel="0" collapsed="false"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customFormat="false" ht="15.75" hidden="false" customHeight="true" outlineLevel="0" collapsed="false"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customFormat="false" ht="15.75" hidden="false" customHeight="true" outlineLevel="0" collapsed="false"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customFormat="false" ht="15.75" hidden="false" customHeight="true" outlineLevel="0" collapsed="false"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customFormat="false" ht="15.75" hidden="false" customHeight="true" outlineLevel="0" collapsed="false"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customFormat="false" ht="15.75" hidden="false" customHeight="true" outlineLevel="0" collapsed="false"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customFormat="false" ht="15.75" hidden="false" customHeight="true" outlineLevel="0" collapsed="false"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customFormat="false" ht="15.75" hidden="false" customHeight="true" outlineLevel="0" collapsed="false"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customFormat="false" ht="15.75" hidden="false" customHeight="true" outlineLevel="0" collapsed="false"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customFormat="false" ht="15.75" hidden="false" customHeight="true" outlineLevel="0" collapsed="false"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customFormat="false" ht="15.75" hidden="false" customHeight="true" outlineLevel="0" collapsed="false"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customFormat="false" ht="15.75" hidden="false" customHeight="true" outlineLevel="0" collapsed="false"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customFormat="false" ht="15.75" hidden="false" customHeight="true" outlineLevel="0" collapsed="false"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customFormat="false" ht="15.75" hidden="false" customHeight="true" outlineLevel="0" collapsed="false"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customFormat="false" ht="15.75" hidden="false" customHeight="true" outlineLevel="0" collapsed="false"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customFormat="false" ht="15.75" hidden="false" customHeight="true" outlineLevel="0" collapsed="false"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customFormat="false" ht="15.75" hidden="false" customHeight="true" outlineLevel="0" collapsed="false"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customFormat="false" ht="15.75" hidden="false" customHeight="true" outlineLevel="0" collapsed="false"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customFormat="false" ht="15.75" hidden="false" customHeight="true" outlineLevel="0" collapsed="false"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customFormat="false" ht="15.75" hidden="false" customHeight="true" outlineLevel="0" collapsed="false"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customFormat="false" ht="15.75" hidden="false" customHeight="true" outlineLevel="0" collapsed="false"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customFormat="false" ht="15.75" hidden="false" customHeight="true" outlineLevel="0" collapsed="false"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customFormat="false" ht="15.75" hidden="false" customHeight="true" outlineLevel="0" collapsed="false"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customFormat="false" ht="15.75" hidden="false" customHeight="true" outlineLevel="0" collapsed="false"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customFormat="false" ht="15.75" hidden="false" customHeight="true" outlineLevel="0" collapsed="false"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customFormat="false" ht="15.75" hidden="false" customHeight="true" outlineLevel="0" collapsed="false"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customFormat="false" ht="15.75" hidden="false" customHeight="true" outlineLevel="0" collapsed="false"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customFormat="false" ht="15.75" hidden="false" customHeight="true" outlineLevel="0" collapsed="false"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customFormat="false" ht="15.75" hidden="false" customHeight="true" outlineLevel="0" collapsed="false"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customFormat="false" ht="15.75" hidden="false" customHeight="true" outlineLevel="0" collapsed="false"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customFormat="false" ht="15.75" hidden="false" customHeight="true" outlineLevel="0" collapsed="false"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customFormat="false" ht="15.75" hidden="false" customHeight="true" outlineLevel="0" collapsed="false"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customFormat="false" ht="15.75" hidden="false" customHeight="true" outlineLevel="0" collapsed="false"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customFormat="false" ht="15.75" hidden="false" customHeight="true" outlineLevel="0" collapsed="false"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customFormat="false" ht="15.75" hidden="false" customHeight="true" outlineLevel="0" collapsed="false"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customFormat="false" ht="15.75" hidden="false" customHeight="true" outlineLevel="0" collapsed="false"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customFormat="false" ht="15.75" hidden="false" customHeight="true" outlineLevel="0" collapsed="false"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customFormat="false" ht="15.75" hidden="false" customHeight="true" outlineLevel="0" collapsed="false"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customFormat="false" ht="15.75" hidden="false" customHeight="true" outlineLevel="0" collapsed="false"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customFormat="false" ht="15.75" hidden="false" customHeight="true" outlineLevel="0" collapsed="false"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customFormat="false" ht="15.75" hidden="false" customHeight="true" outlineLevel="0" collapsed="false"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customFormat="false" ht="15.75" hidden="false" customHeight="true" outlineLevel="0" collapsed="false"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customFormat="false" ht="15.75" hidden="false" customHeight="true" outlineLevel="0" collapsed="false"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customFormat="false" ht="15.75" hidden="false" customHeight="true" outlineLevel="0" collapsed="false"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customFormat="false" ht="15.75" hidden="false" customHeight="true" outlineLevel="0" collapsed="false"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customFormat="false" ht="15.75" hidden="false" customHeight="true" outlineLevel="0" collapsed="false"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customFormat="false" ht="15.75" hidden="false" customHeight="true" outlineLevel="0" collapsed="false"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customFormat="false" ht="15.75" hidden="false" customHeight="true" outlineLevel="0" collapsed="false"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customFormat="false" ht="15.75" hidden="false" customHeight="true" outlineLevel="0" collapsed="false"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customFormat="false" ht="15.75" hidden="false" customHeight="true" outlineLevel="0" collapsed="false"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customFormat="false" ht="15.75" hidden="false" customHeight="true" outlineLevel="0" collapsed="false"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customFormat="false" ht="15.75" hidden="false" customHeight="true" outlineLevel="0" collapsed="false"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customFormat="false" ht="15.75" hidden="false" customHeight="true" outlineLevel="0" collapsed="false"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customFormat="false" ht="15.75" hidden="false" customHeight="true" outlineLevel="0" collapsed="false"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customFormat="false" ht="15.75" hidden="false" customHeight="true" outlineLevel="0" collapsed="false"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customFormat="false" ht="15.75" hidden="false" customHeight="true" outlineLevel="0" collapsed="false"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customFormat="false" ht="15.75" hidden="false" customHeight="true" outlineLevel="0" collapsed="false"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customFormat="false" ht="15.75" hidden="false" customHeight="true" outlineLevel="0" collapsed="false"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customFormat="false" ht="15.75" hidden="false" customHeight="true" outlineLevel="0" collapsed="false"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customFormat="false" ht="15.75" hidden="false" customHeight="true" outlineLevel="0" collapsed="false"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customFormat="false" ht="15.75" hidden="false" customHeight="true" outlineLevel="0" collapsed="false"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customFormat="false" ht="15.75" hidden="false" customHeight="true" outlineLevel="0" collapsed="false"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customFormat="false" ht="15.75" hidden="false" customHeight="true" outlineLevel="0" collapsed="false"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customFormat="false" ht="15.75" hidden="false" customHeight="true" outlineLevel="0" collapsed="false"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customFormat="false" ht="15.75" hidden="false" customHeight="true" outlineLevel="0" collapsed="false"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customFormat="false" ht="15.75" hidden="false" customHeight="true" outlineLevel="0" collapsed="false"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customFormat="false" ht="15.75" hidden="false" customHeight="true" outlineLevel="0" collapsed="false"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customFormat="false" ht="15.75" hidden="false" customHeight="true" outlineLevel="0" collapsed="false"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customFormat="false" ht="15.75" hidden="false" customHeight="true" outlineLevel="0" collapsed="false"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customFormat="false" ht="15.75" hidden="false" customHeight="true" outlineLevel="0" collapsed="false"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customFormat="false" ht="15.75" hidden="false" customHeight="true" outlineLevel="0" collapsed="false"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customFormat="false" ht="15.75" hidden="false" customHeight="true" outlineLevel="0" collapsed="false"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customFormat="false" ht="15.75" hidden="false" customHeight="true" outlineLevel="0" collapsed="false"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customFormat="false" ht="15.75" hidden="false" customHeight="true" outlineLevel="0" collapsed="false"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customFormat="false" ht="15.75" hidden="false" customHeight="true" outlineLevel="0" collapsed="false"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customFormat="false" ht="15.75" hidden="false" customHeight="true" outlineLevel="0" collapsed="false"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customFormat="false" ht="15.75" hidden="false" customHeight="true" outlineLevel="0" collapsed="false"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customFormat="false" ht="15.75" hidden="false" customHeight="true" outlineLevel="0" collapsed="false"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customFormat="false" ht="15.75" hidden="false" customHeight="true" outlineLevel="0" collapsed="false"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customFormat="false" ht="15.75" hidden="false" customHeight="true" outlineLevel="0" collapsed="false"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customFormat="false" ht="15.75" hidden="false" customHeight="true" outlineLevel="0" collapsed="false"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customFormat="false" ht="15.75" hidden="false" customHeight="true" outlineLevel="0" collapsed="false"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customFormat="false" ht="15.75" hidden="false" customHeight="true" outlineLevel="0" collapsed="false"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customFormat="false" ht="15.75" hidden="false" customHeight="true" outlineLevel="0" collapsed="false"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customFormat="false" ht="15.75" hidden="false" customHeight="true" outlineLevel="0" collapsed="false"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customFormat="false" ht="15.75" hidden="false" customHeight="true" outlineLevel="0" collapsed="false"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customFormat="false" ht="15.75" hidden="false" customHeight="true" outlineLevel="0" collapsed="false"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customFormat="false" ht="15.75" hidden="false" customHeight="true" outlineLevel="0" collapsed="false"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customFormat="false" ht="15.75" hidden="false" customHeight="true" outlineLevel="0" collapsed="false"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customFormat="false" ht="15.75" hidden="false" customHeight="true" outlineLevel="0" collapsed="false"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customFormat="false" ht="15.75" hidden="false" customHeight="true" outlineLevel="0" collapsed="false"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customFormat="false" ht="15.75" hidden="false" customHeight="true" outlineLevel="0" collapsed="false"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customFormat="false" ht="15.75" hidden="false" customHeight="true" outlineLevel="0" collapsed="false"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customFormat="false" ht="15.75" hidden="false" customHeight="true" outlineLevel="0" collapsed="false"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customFormat="false" ht="15.75" hidden="false" customHeight="true" outlineLevel="0" collapsed="false"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customFormat="false" ht="15.75" hidden="false" customHeight="true" outlineLevel="0" collapsed="false"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customFormat="false" ht="15.75" hidden="false" customHeight="true" outlineLevel="0" collapsed="false"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customFormat="false" ht="15.75" hidden="false" customHeight="true" outlineLevel="0" collapsed="false"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customFormat="false" ht="15.75" hidden="false" customHeight="true" outlineLevel="0" collapsed="false"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customFormat="false" ht="15.75" hidden="false" customHeight="true" outlineLevel="0" collapsed="false"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customFormat="false" ht="15.75" hidden="false" customHeight="true" outlineLevel="0" collapsed="false"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customFormat="false" ht="15.75" hidden="false" customHeight="true" outlineLevel="0" collapsed="false"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customFormat="false" ht="15.75" hidden="false" customHeight="true" outlineLevel="0" collapsed="false"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customFormat="false" ht="15.75" hidden="false" customHeight="true" outlineLevel="0" collapsed="false"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customFormat="false" ht="15.75" hidden="false" customHeight="true" outlineLevel="0" collapsed="false"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customFormat="false" ht="15.75" hidden="false" customHeight="true" outlineLevel="0" collapsed="false"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customFormat="false" ht="15.75" hidden="false" customHeight="true" outlineLevel="0" collapsed="false"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customFormat="false" ht="15.75" hidden="false" customHeight="true" outlineLevel="0" collapsed="false"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customFormat="false" ht="15.75" hidden="false" customHeight="true" outlineLevel="0" collapsed="false"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customFormat="false" ht="15.75" hidden="false" customHeight="true" outlineLevel="0" collapsed="false"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customFormat="false" ht="15.75" hidden="false" customHeight="true" outlineLevel="0" collapsed="false"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customFormat="false" ht="15.75" hidden="false" customHeight="true" outlineLevel="0" collapsed="false"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customFormat="false" ht="15.75" hidden="false" customHeight="true" outlineLevel="0" collapsed="false"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customFormat="false" ht="15.75" hidden="false" customHeight="true" outlineLevel="0" collapsed="false"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customFormat="false" ht="15.75" hidden="false" customHeight="true" outlineLevel="0" collapsed="false"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customFormat="false" ht="15.75" hidden="false" customHeight="true" outlineLevel="0" collapsed="false"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customFormat="false" ht="15.75" hidden="false" customHeight="true" outlineLevel="0" collapsed="false"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customFormat="false" ht="15.75" hidden="false" customHeight="true" outlineLevel="0" collapsed="false"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customFormat="false" ht="15.75" hidden="false" customHeight="true" outlineLevel="0" collapsed="false"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customFormat="false" ht="15.75" hidden="false" customHeight="true" outlineLevel="0" collapsed="false"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customFormat="false" ht="15.75" hidden="false" customHeight="true" outlineLevel="0" collapsed="false"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customFormat="false" ht="15.75" hidden="false" customHeight="true" outlineLevel="0" collapsed="false"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customFormat="false" ht="15.75" hidden="false" customHeight="true" outlineLevel="0" collapsed="false"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customFormat="false" ht="15.75" hidden="false" customHeight="true" outlineLevel="0" collapsed="false"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customFormat="false" ht="15.75" hidden="false" customHeight="true" outlineLevel="0" collapsed="false"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customFormat="false" ht="15.75" hidden="false" customHeight="true" outlineLevel="0" collapsed="false"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customFormat="false" ht="15.75" hidden="false" customHeight="true" outlineLevel="0" collapsed="false"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customFormat="false" ht="15.75" hidden="false" customHeight="true" outlineLevel="0" collapsed="false"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customFormat="false" ht="15.75" hidden="false" customHeight="true" outlineLevel="0" collapsed="false"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customFormat="false" ht="15.75" hidden="false" customHeight="true" outlineLevel="0" collapsed="false"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customFormat="false" ht="15.75" hidden="false" customHeight="true" outlineLevel="0" collapsed="false"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customFormat="false" ht="15.75" hidden="false" customHeight="true" outlineLevel="0" collapsed="false"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customFormat="false" ht="15.75" hidden="false" customHeight="true" outlineLevel="0" collapsed="false"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customFormat="false" ht="15.75" hidden="false" customHeight="true" outlineLevel="0" collapsed="false"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customFormat="false" ht="15.75" hidden="false" customHeight="true" outlineLevel="0" collapsed="false"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customFormat="false" ht="15.75" hidden="false" customHeight="true" outlineLevel="0" collapsed="false"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customFormat="false" ht="15.75" hidden="false" customHeight="true" outlineLevel="0" collapsed="false"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customFormat="false" ht="15.75" hidden="false" customHeight="true" outlineLevel="0" collapsed="false"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customFormat="false" ht="15.75" hidden="false" customHeight="true" outlineLevel="0" collapsed="false"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customFormat="false" ht="15.75" hidden="false" customHeight="true" outlineLevel="0" collapsed="false"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customFormat="false" ht="15.75" hidden="false" customHeight="true" outlineLevel="0" collapsed="false"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customFormat="false" ht="15.75" hidden="false" customHeight="true" outlineLevel="0" collapsed="false"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customFormat="false" ht="15.75" hidden="false" customHeight="true" outlineLevel="0" collapsed="false"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customFormat="false" ht="15.75" hidden="false" customHeight="true" outlineLevel="0" collapsed="false"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customFormat="false" ht="15.75" hidden="false" customHeight="true" outlineLevel="0" collapsed="false"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customFormat="false" ht="15.75" hidden="false" customHeight="true" outlineLevel="0" collapsed="false"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customFormat="false" ht="15.75" hidden="false" customHeight="true" outlineLevel="0" collapsed="false"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customFormat="false" ht="15.75" hidden="false" customHeight="true" outlineLevel="0" collapsed="false"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customFormat="false" ht="15.75" hidden="false" customHeight="true" outlineLevel="0" collapsed="false"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customFormat="false" ht="15.75" hidden="false" customHeight="true" outlineLevel="0" collapsed="false"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customFormat="false" ht="15.75" hidden="false" customHeight="true" outlineLevel="0" collapsed="false"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customFormat="false" ht="15.75" hidden="false" customHeight="true" outlineLevel="0" collapsed="false"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customFormat="false" ht="15.75" hidden="false" customHeight="true" outlineLevel="0" collapsed="false"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customFormat="false" ht="15.75" hidden="false" customHeight="true" outlineLevel="0" collapsed="false"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customFormat="false" ht="15.75" hidden="false" customHeight="true" outlineLevel="0" collapsed="false"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customFormat="false" ht="15.75" hidden="false" customHeight="true" outlineLevel="0" collapsed="false"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customFormat="false" ht="15.75" hidden="false" customHeight="true" outlineLevel="0" collapsed="false"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customFormat="false" ht="15.75" hidden="false" customHeight="true" outlineLevel="0" collapsed="false"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customFormat="false" ht="15.75" hidden="false" customHeight="true" outlineLevel="0" collapsed="false"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customFormat="false" ht="15.75" hidden="false" customHeight="true" outlineLevel="0" collapsed="false"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customFormat="false" ht="15.75" hidden="false" customHeight="true" outlineLevel="0" collapsed="false"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customFormat="false" ht="15.75" hidden="false" customHeight="true" outlineLevel="0" collapsed="false"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customFormat="false" ht="15.75" hidden="false" customHeight="true" outlineLevel="0" collapsed="false"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customFormat="false" ht="15.75" hidden="false" customHeight="true" outlineLevel="0" collapsed="false"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customFormat="false" ht="15.75" hidden="false" customHeight="true" outlineLevel="0" collapsed="false"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customFormat="false" ht="15.75" hidden="false" customHeight="true" outlineLevel="0" collapsed="false"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customFormat="false" ht="15.75" hidden="false" customHeight="true" outlineLevel="0" collapsed="false"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customFormat="false" ht="15.75" hidden="false" customHeight="true" outlineLevel="0" collapsed="false"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customFormat="false" ht="15.75" hidden="false" customHeight="true" outlineLevel="0" collapsed="false"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customFormat="false" ht="15.75" hidden="false" customHeight="true" outlineLevel="0" collapsed="false"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customFormat="false" ht="15.75" hidden="false" customHeight="true" outlineLevel="0" collapsed="false"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customFormat="false" ht="15.75" hidden="false" customHeight="true" outlineLevel="0" collapsed="false"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customFormat="false" ht="15.75" hidden="false" customHeight="true" outlineLevel="0" collapsed="false"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customFormat="false" ht="15.75" hidden="false" customHeight="true" outlineLevel="0" collapsed="false"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customFormat="false" ht="15.75" hidden="false" customHeight="true" outlineLevel="0" collapsed="false"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customFormat="false" ht="15.75" hidden="false" customHeight="true" outlineLevel="0" collapsed="false"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customFormat="false" ht="15.75" hidden="false" customHeight="true" outlineLevel="0" collapsed="false"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customFormat="false" ht="15.75" hidden="false" customHeight="true" outlineLevel="0" collapsed="false"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customFormat="false" ht="15.75" hidden="false" customHeight="true" outlineLevel="0" collapsed="false"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customFormat="false" ht="15.75" hidden="false" customHeight="true" outlineLevel="0" collapsed="false"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customFormat="false" ht="15.75" hidden="false" customHeight="true" outlineLevel="0" collapsed="false"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customFormat="false" ht="15.75" hidden="false" customHeight="true" outlineLevel="0" collapsed="false"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customFormat="false" ht="15.75" hidden="false" customHeight="true" outlineLevel="0" collapsed="false"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customFormat="false" ht="15.75" hidden="false" customHeight="true" outlineLevel="0" collapsed="false"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customFormat="false" ht="15.75" hidden="false" customHeight="true" outlineLevel="0" collapsed="false"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customFormat="false" ht="15.75" hidden="false" customHeight="true" outlineLevel="0" collapsed="false"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customFormat="false" ht="15.75" hidden="false" customHeight="true" outlineLevel="0" collapsed="false"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customFormat="false" ht="15.75" hidden="false" customHeight="true" outlineLevel="0" collapsed="false"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customFormat="false" ht="15.75" hidden="false" customHeight="true" outlineLevel="0" collapsed="false"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customFormat="false" ht="15.75" hidden="false" customHeight="true" outlineLevel="0" collapsed="false"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customFormat="false" ht="15.75" hidden="false" customHeight="true" outlineLevel="0" collapsed="false"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customFormat="false" ht="15.75" hidden="false" customHeight="true" outlineLevel="0" collapsed="false"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customFormat="false" ht="15.75" hidden="false" customHeight="true" outlineLevel="0" collapsed="false"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customFormat="false" ht="15.75" hidden="false" customHeight="true" outlineLevel="0" collapsed="false"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customFormat="false" ht="15.75" hidden="false" customHeight="true" outlineLevel="0" collapsed="false"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customFormat="false" ht="15.75" hidden="false" customHeight="true" outlineLevel="0" collapsed="false"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customFormat="false" ht="15.75" hidden="false" customHeight="true" outlineLevel="0" collapsed="false"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customFormat="false" ht="15.75" hidden="false" customHeight="true" outlineLevel="0" collapsed="false"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customFormat="false" ht="15.75" hidden="false" customHeight="true" outlineLevel="0" collapsed="false"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customFormat="false" ht="15.75" hidden="false" customHeight="true" outlineLevel="0" collapsed="false"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customFormat="false" ht="15.75" hidden="false" customHeight="true" outlineLevel="0" collapsed="false"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customFormat="false" ht="15.75" hidden="false" customHeight="true" outlineLevel="0" collapsed="false"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customFormat="false" ht="15.75" hidden="false" customHeight="true" outlineLevel="0" collapsed="false"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customFormat="false" ht="15.75" hidden="false" customHeight="true" outlineLevel="0" collapsed="false"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customFormat="false" ht="15.75" hidden="false" customHeight="true" outlineLevel="0" collapsed="false"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customFormat="false" ht="15.75" hidden="false" customHeight="true" outlineLevel="0" collapsed="false"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customFormat="false" ht="15.75" hidden="false" customHeight="true" outlineLevel="0" collapsed="false"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customFormat="false" ht="15.75" hidden="false" customHeight="true" outlineLevel="0" collapsed="false"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customFormat="false" ht="15.75" hidden="false" customHeight="true" outlineLevel="0" collapsed="false"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customFormat="false" ht="15.75" hidden="false" customHeight="true" outlineLevel="0" collapsed="false"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customFormat="false" ht="15.75" hidden="false" customHeight="true" outlineLevel="0" collapsed="false"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customFormat="false" ht="15.75" hidden="false" customHeight="true" outlineLevel="0" collapsed="false"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customFormat="false" ht="15.75" hidden="false" customHeight="true" outlineLevel="0" collapsed="false"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customFormat="false" ht="15.75" hidden="false" customHeight="true" outlineLevel="0" collapsed="false"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customFormat="false" ht="15.75" hidden="false" customHeight="true" outlineLevel="0" collapsed="false"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customFormat="false" ht="15.75" hidden="false" customHeight="true" outlineLevel="0" collapsed="false"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customFormat="false" ht="15.75" hidden="false" customHeight="true" outlineLevel="0" collapsed="false"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customFormat="false" ht="15.75" hidden="false" customHeight="true" outlineLevel="0" collapsed="false"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customFormat="false" ht="15.75" hidden="false" customHeight="true" outlineLevel="0" collapsed="false"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customFormat="false" ht="15.75" hidden="false" customHeight="true" outlineLevel="0" collapsed="false"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customFormat="false" ht="15.75" hidden="false" customHeight="true" outlineLevel="0" collapsed="false"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customFormat="false" ht="15.75" hidden="false" customHeight="true" outlineLevel="0" collapsed="false"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customFormat="false" ht="15.75" hidden="false" customHeight="true" outlineLevel="0" collapsed="false"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customFormat="false" ht="15.75" hidden="false" customHeight="true" outlineLevel="0" collapsed="false"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customFormat="false" ht="15.75" hidden="false" customHeight="true" outlineLevel="0" collapsed="false"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customFormat="false" ht="15.75" hidden="false" customHeight="true" outlineLevel="0" collapsed="false"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customFormat="false" ht="15.75" hidden="false" customHeight="true" outlineLevel="0" collapsed="false"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customFormat="false" ht="15.75" hidden="false" customHeight="true" outlineLevel="0" collapsed="false"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customFormat="false" ht="15.75" hidden="false" customHeight="true" outlineLevel="0" collapsed="false"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customFormat="false" ht="15.75" hidden="false" customHeight="true" outlineLevel="0" collapsed="false"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customFormat="false" ht="15.75" hidden="false" customHeight="true" outlineLevel="0" collapsed="false"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customFormat="false" ht="15.75" hidden="false" customHeight="true" outlineLevel="0" collapsed="false"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customFormat="false" ht="15.75" hidden="false" customHeight="true" outlineLevel="0" collapsed="false"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customFormat="false" ht="15.75" hidden="false" customHeight="true" outlineLevel="0" collapsed="false"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customFormat="false" ht="15.75" hidden="false" customHeight="true" outlineLevel="0" collapsed="false"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customFormat="false" ht="15.75" hidden="false" customHeight="true" outlineLevel="0" collapsed="false"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customFormat="false" ht="15.75" hidden="false" customHeight="true" outlineLevel="0" collapsed="false"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customFormat="false" ht="15.75" hidden="false" customHeight="true" outlineLevel="0" collapsed="false"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customFormat="false" ht="15.75" hidden="false" customHeight="true" outlineLevel="0" collapsed="false"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customFormat="false" ht="15.75" hidden="false" customHeight="true" outlineLevel="0" collapsed="false"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customFormat="false" ht="15.75" hidden="false" customHeight="true" outlineLevel="0" collapsed="false"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customFormat="false" ht="15.75" hidden="false" customHeight="true" outlineLevel="0" collapsed="false"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customFormat="false" ht="15.75" hidden="false" customHeight="true" outlineLevel="0" collapsed="false"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customFormat="false" ht="15.75" hidden="false" customHeight="true" outlineLevel="0" collapsed="false"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customFormat="false" ht="15.75" hidden="false" customHeight="true" outlineLevel="0" collapsed="false"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customFormat="false" ht="15.75" hidden="false" customHeight="true" outlineLevel="0" collapsed="false"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customFormat="false" ht="15.75" hidden="false" customHeight="true" outlineLevel="0" collapsed="false"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customFormat="false" ht="15.75" hidden="false" customHeight="true" outlineLevel="0" collapsed="false"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customFormat="false" ht="15.75" hidden="false" customHeight="true" outlineLevel="0" collapsed="false"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customFormat="false" ht="15.75" hidden="false" customHeight="true" outlineLevel="0" collapsed="false"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customFormat="false" ht="15.75" hidden="false" customHeight="true" outlineLevel="0" collapsed="false"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customFormat="false" ht="15.75" hidden="false" customHeight="true" outlineLevel="0" collapsed="false"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customFormat="false" ht="15.75" hidden="false" customHeight="true" outlineLevel="0" collapsed="false"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customFormat="false" ht="15.75" hidden="false" customHeight="true" outlineLevel="0" collapsed="false"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customFormat="false" ht="15.75" hidden="false" customHeight="true" outlineLevel="0" collapsed="false"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customFormat="false" ht="15.75" hidden="false" customHeight="true" outlineLevel="0" collapsed="false"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customFormat="false" ht="15.75" hidden="false" customHeight="true" outlineLevel="0" collapsed="false"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customFormat="false" ht="15.75" hidden="false" customHeight="true" outlineLevel="0" collapsed="false"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customFormat="false" ht="15.75" hidden="false" customHeight="true" outlineLevel="0" collapsed="false"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customFormat="false" ht="15.75" hidden="false" customHeight="true" outlineLevel="0" collapsed="false"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customFormat="false" ht="15.75" hidden="false" customHeight="true" outlineLevel="0" collapsed="false"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customFormat="false" ht="15.75" hidden="false" customHeight="true" outlineLevel="0" collapsed="false"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customFormat="false" ht="15.75" hidden="false" customHeight="true" outlineLevel="0" collapsed="false"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customFormat="false" ht="15.75" hidden="false" customHeight="true" outlineLevel="0" collapsed="false"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customFormat="false" ht="15.75" hidden="false" customHeight="true" outlineLevel="0" collapsed="false"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customFormat="false" ht="15.75" hidden="false" customHeight="true" outlineLevel="0" collapsed="false"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customFormat="false" ht="15.75" hidden="false" customHeight="true" outlineLevel="0" collapsed="false"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customFormat="false" ht="15.75" hidden="false" customHeight="true" outlineLevel="0" collapsed="false"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customFormat="false" ht="15.75" hidden="false" customHeight="true" outlineLevel="0" collapsed="false"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customFormat="false" ht="15.75" hidden="false" customHeight="true" outlineLevel="0" collapsed="false"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customFormat="false" ht="15.75" hidden="false" customHeight="true" outlineLevel="0" collapsed="false"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customFormat="false" ht="15.75" hidden="false" customHeight="true" outlineLevel="0" collapsed="false"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customFormat="false" ht="15.75" hidden="false" customHeight="true" outlineLevel="0" collapsed="false"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customFormat="false" ht="15.75" hidden="false" customHeight="true" outlineLevel="0" collapsed="false"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customFormat="false" ht="15.75" hidden="false" customHeight="true" outlineLevel="0" collapsed="false"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customFormat="false" ht="15.75" hidden="false" customHeight="true" outlineLevel="0" collapsed="false"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customFormat="false" ht="15.75" hidden="false" customHeight="true" outlineLevel="0" collapsed="false"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customFormat="false" ht="15.75" hidden="false" customHeight="true" outlineLevel="0" collapsed="false"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customFormat="false" ht="15.75" hidden="false" customHeight="true" outlineLevel="0" collapsed="false"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customFormat="false" ht="15.75" hidden="false" customHeight="true" outlineLevel="0" collapsed="false"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customFormat="false" ht="15.75" hidden="false" customHeight="true" outlineLevel="0" collapsed="false"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customFormat="false" ht="15.75" hidden="false" customHeight="true" outlineLevel="0" collapsed="false"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customFormat="false" ht="15.75" hidden="false" customHeight="true" outlineLevel="0" collapsed="false"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customFormat="false" ht="15.75" hidden="false" customHeight="true" outlineLevel="0" collapsed="false"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customFormat="false" ht="15.75" hidden="false" customHeight="true" outlineLevel="0" collapsed="false"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customFormat="false" ht="15.75" hidden="false" customHeight="true" outlineLevel="0" collapsed="false"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customFormat="false" ht="15.75" hidden="false" customHeight="true" outlineLevel="0" collapsed="false"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customFormat="false" ht="15.75" hidden="false" customHeight="true" outlineLevel="0" collapsed="false"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customFormat="false" ht="15.75" hidden="false" customHeight="true" outlineLevel="0" collapsed="false"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customFormat="false" ht="15.75" hidden="false" customHeight="true" outlineLevel="0" collapsed="false"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customFormat="false" ht="15.75" hidden="false" customHeight="true" outlineLevel="0" collapsed="false"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customFormat="false" ht="15.75" hidden="false" customHeight="true" outlineLevel="0" collapsed="false"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customFormat="false" ht="15.75" hidden="false" customHeight="true" outlineLevel="0" collapsed="false"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customFormat="false" ht="15.75" hidden="false" customHeight="true" outlineLevel="0" collapsed="false"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customFormat="false" ht="15.75" hidden="false" customHeight="true" outlineLevel="0" collapsed="false"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customFormat="false" ht="15.75" hidden="false" customHeight="true" outlineLevel="0" collapsed="false"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customFormat="false" ht="15.75" hidden="false" customHeight="true" outlineLevel="0" collapsed="false"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customFormat="false" ht="15.75" hidden="false" customHeight="true" outlineLevel="0" collapsed="false"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customFormat="false" ht="15.75" hidden="false" customHeight="true" outlineLevel="0" collapsed="false"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customFormat="false" ht="15.75" hidden="false" customHeight="true" outlineLevel="0" collapsed="false"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customFormat="false" ht="15.75" hidden="false" customHeight="true" outlineLevel="0" collapsed="false"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customFormat="false" ht="15.75" hidden="false" customHeight="true" outlineLevel="0" collapsed="false"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customFormat="false" ht="15.75" hidden="false" customHeight="true" outlineLevel="0" collapsed="false"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customFormat="false" ht="15.75" hidden="false" customHeight="true" outlineLevel="0" collapsed="false"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customFormat="false" ht="15.75" hidden="false" customHeight="true" outlineLevel="0" collapsed="false"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customFormat="false" ht="15.75" hidden="false" customHeight="true" outlineLevel="0" collapsed="false"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customFormat="false" ht="15.75" hidden="false" customHeight="true" outlineLevel="0" collapsed="false"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customFormat="false" ht="15.75" hidden="false" customHeight="true" outlineLevel="0" collapsed="false"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customFormat="false" ht="15.75" hidden="false" customHeight="true" outlineLevel="0" collapsed="false"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customFormat="false" ht="15.75" hidden="false" customHeight="true" outlineLevel="0" collapsed="false"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customFormat="false" ht="15.75" hidden="false" customHeight="true" outlineLevel="0" collapsed="false"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customFormat="false" ht="15.75" hidden="false" customHeight="true" outlineLevel="0" collapsed="false"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customFormat="false" ht="15.75" hidden="false" customHeight="true" outlineLevel="0" collapsed="false"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customFormat="false" ht="15.75" hidden="false" customHeight="true" outlineLevel="0" collapsed="false"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customFormat="false" ht="15.75" hidden="false" customHeight="true" outlineLevel="0" collapsed="false"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customFormat="false" ht="15.75" hidden="false" customHeight="true" outlineLevel="0" collapsed="false"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customFormat="false" ht="15.75" hidden="false" customHeight="true" outlineLevel="0" collapsed="false"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customFormat="false" ht="15.75" hidden="false" customHeight="true" outlineLevel="0" collapsed="false"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customFormat="false" ht="15.75" hidden="false" customHeight="true" outlineLevel="0" collapsed="false"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customFormat="false" ht="15.75" hidden="false" customHeight="true" outlineLevel="0" collapsed="false"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customFormat="false" ht="15.75" hidden="false" customHeight="true" outlineLevel="0" collapsed="false"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customFormat="false" ht="15.75" hidden="false" customHeight="true" outlineLevel="0" collapsed="false"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customFormat="false" ht="15.75" hidden="false" customHeight="true" outlineLevel="0" collapsed="false"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customFormat="false" ht="15.75" hidden="false" customHeight="true" outlineLevel="0" collapsed="false"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customFormat="false" ht="15.75" hidden="false" customHeight="true" outlineLevel="0" collapsed="false"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customFormat="false" ht="15.75" hidden="false" customHeight="true" outlineLevel="0" collapsed="false"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customFormat="false" ht="15.75" hidden="false" customHeight="true" outlineLevel="0" collapsed="false"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customFormat="false" ht="15.75" hidden="false" customHeight="true" outlineLevel="0" collapsed="false"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customFormat="false" ht="15.75" hidden="false" customHeight="true" outlineLevel="0" collapsed="false"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customFormat="false" ht="15.75" hidden="false" customHeight="true" outlineLevel="0" collapsed="false"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customFormat="false" ht="15.75" hidden="false" customHeight="true" outlineLevel="0" collapsed="false"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customFormat="false" ht="15.75" hidden="false" customHeight="true" outlineLevel="0" collapsed="false"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customFormat="false" ht="15.75" hidden="false" customHeight="true" outlineLevel="0" collapsed="false"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customFormat="false" ht="15.75" hidden="false" customHeight="true" outlineLevel="0" collapsed="false"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customFormat="false" ht="15.75" hidden="false" customHeight="true" outlineLevel="0" collapsed="false"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customFormat="false" ht="15.75" hidden="false" customHeight="true" outlineLevel="0" collapsed="false"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customFormat="false" ht="15.75" hidden="false" customHeight="true" outlineLevel="0" collapsed="false"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customFormat="false" ht="15.75" hidden="false" customHeight="true" outlineLevel="0" collapsed="false"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customFormat="false" ht="15.75" hidden="false" customHeight="true" outlineLevel="0" collapsed="false"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customFormat="false" ht="15.75" hidden="false" customHeight="true" outlineLevel="0" collapsed="false"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customFormat="false" ht="15.75" hidden="false" customHeight="true" outlineLevel="0" collapsed="false"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customFormat="false" ht="15.75" hidden="false" customHeight="true" outlineLevel="0" collapsed="false"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customFormat="false" ht="15.75" hidden="false" customHeight="true" outlineLevel="0" collapsed="false"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customFormat="false" ht="15.75" hidden="false" customHeight="true" outlineLevel="0" collapsed="false"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customFormat="false" ht="15.75" hidden="false" customHeight="true" outlineLevel="0" collapsed="false"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customFormat="false" ht="15.75" hidden="false" customHeight="true" outlineLevel="0" collapsed="false"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customFormat="false" ht="15.75" hidden="false" customHeight="true" outlineLevel="0" collapsed="false"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customFormat="false" ht="15.75" hidden="false" customHeight="true" outlineLevel="0" collapsed="false"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customFormat="false" ht="15.75" hidden="false" customHeight="true" outlineLevel="0" collapsed="false"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customFormat="false" ht="15.75" hidden="false" customHeight="true" outlineLevel="0" collapsed="false"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customFormat="false" ht="15.75" hidden="false" customHeight="true" outlineLevel="0" collapsed="false"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customFormat="false" ht="15.75" hidden="false" customHeight="true" outlineLevel="0" collapsed="false"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customFormat="false" ht="15.75" hidden="false" customHeight="true" outlineLevel="0" collapsed="false"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customFormat="false" ht="15.75" hidden="false" customHeight="true" outlineLevel="0" collapsed="false"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customFormat="false" ht="15.75" hidden="false" customHeight="true" outlineLevel="0" collapsed="false"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customFormat="false" ht="15.75" hidden="false" customHeight="true" outlineLevel="0" collapsed="false"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customFormat="false" ht="15.75" hidden="false" customHeight="true" outlineLevel="0" collapsed="false"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customFormat="false" ht="15.75" hidden="false" customHeight="true" outlineLevel="0" collapsed="false"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customFormat="false" ht="15.75" hidden="false" customHeight="true" outlineLevel="0" collapsed="false"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customFormat="false" ht="15.75" hidden="false" customHeight="true" outlineLevel="0" collapsed="false"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customFormat="false" ht="15.75" hidden="false" customHeight="true" outlineLevel="0" collapsed="false"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customFormat="false" ht="15.75" hidden="false" customHeight="true" outlineLevel="0" collapsed="false"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customFormat="false" ht="15.75" hidden="false" customHeight="true" outlineLevel="0" collapsed="false"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customFormat="false" ht="15.75" hidden="false" customHeight="true" outlineLevel="0" collapsed="false"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customFormat="false" ht="15.75" hidden="false" customHeight="true" outlineLevel="0" collapsed="false"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customFormat="false" ht="15.75" hidden="false" customHeight="true" outlineLevel="0" collapsed="false"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customFormat="false" ht="15.75" hidden="false" customHeight="true" outlineLevel="0" collapsed="false"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customFormat="false" ht="15.75" hidden="false" customHeight="true" outlineLevel="0" collapsed="false"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customFormat="false" ht="15.75" hidden="false" customHeight="true" outlineLevel="0" collapsed="false"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customFormat="false" ht="15.75" hidden="false" customHeight="true" outlineLevel="0" collapsed="false"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customFormat="false" ht="15.75" hidden="false" customHeight="true" outlineLevel="0" collapsed="false"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customFormat="false" ht="15.75" hidden="false" customHeight="true" outlineLevel="0" collapsed="false"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customFormat="false" ht="15.75" hidden="false" customHeight="true" outlineLevel="0" collapsed="false"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customFormat="false" ht="15.75" hidden="false" customHeight="true" outlineLevel="0" collapsed="false"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customFormat="false" ht="15.75" hidden="false" customHeight="true" outlineLevel="0" collapsed="false"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customFormat="false" ht="15.75" hidden="false" customHeight="true" outlineLevel="0" collapsed="false"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customFormat="false" ht="15.75" hidden="false" customHeight="true" outlineLevel="0" collapsed="false"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customFormat="false" ht="15.75" hidden="false" customHeight="true" outlineLevel="0" collapsed="false"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customFormat="false" ht="15.75" hidden="false" customHeight="true" outlineLevel="0" collapsed="false"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customFormat="false" ht="15.75" hidden="false" customHeight="true" outlineLevel="0" collapsed="false"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customFormat="false" ht="15.75" hidden="false" customHeight="true" outlineLevel="0" collapsed="false"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customFormat="false" ht="15.75" hidden="false" customHeight="true" outlineLevel="0" collapsed="false"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customFormat="false" ht="15.75" hidden="false" customHeight="true" outlineLevel="0" collapsed="false"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customFormat="false" ht="15.75" hidden="false" customHeight="true" outlineLevel="0" collapsed="false"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customFormat="false" ht="15.75" hidden="false" customHeight="true" outlineLevel="0" collapsed="false"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customFormat="false" ht="15.75" hidden="false" customHeight="true" outlineLevel="0" collapsed="false"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customFormat="false" ht="15.75" hidden="false" customHeight="true" outlineLevel="0" collapsed="false"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customFormat="false" ht="15.75" hidden="false" customHeight="true" outlineLevel="0" collapsed="false"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customFormat="false" ht="15.75" hidden="false" customHeight="true" outlineLevel="0" collapsed="false"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customFormat="false" ht="15.75" hidden="false" customHeight="true" outlineLevel="0" collapsed="false"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customFormat="false" ht="15.75" hidden="false" customHeight="true" outlineLevel="0" collapsed="false"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customFormat="false" ht="15.75" hidden="false" customHeight="true" outlineLevel="0" collapsed="false"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customFormat="false" ht="15.75" hidden="false" customHeight="true" outlineLevel="0" collapsed="false"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customFormat="false" ht="15.75" hidden="false" customHeight="true" outlineLevel="0" collapsed="false"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customFormat="false" ht="15.75" hidden="false" customHeight="true" outlineLevel="0" collapsed="false"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customFormat="false" ht="15.75" hidden="false" customHeight="true" outlineLevel="0" collapsed="false"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customFormat="false" ht="15.75" hidden="false" customHeight="true" outlineLevel="0" collapsed="false"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customFormat="false" ht="15.75" hidden="false" customHeight="true" outlineLevel="0" collapsed="false"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customFormat="false" ht="15.75" hidden="false" customHeight="true" outlineLevel="0" collapsed="false"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customFormat="false" ht="15.75" hidden="false" customHeight="true" outlineLevel="0" collapsed="false"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customFormat="false" ht="15.75" hidden="false" customHeight="true" outlineLevel="0" collapsed="false"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customFormat="false" ht="15.75" hidden="false" customHeight="true" outlineLevel="0" collapsed="false"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customFormat="false" ht="15.75" hidden="false" customHeight="true" outlineLevel="0" collapsed="false"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customFormat="false" ht="15.75" hidden="false" customHeight="true" outlineLevel="0" collapsed="false"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customFormat="false" ht="15.75" hidden="false" customHeight="true" outlineLevel="0" collapsed="false"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customFormat="false" ht="15.75" hidden="false" customHeight="true" outlineLevel="0" collapsed="false"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customFormat="false" ht="15.75" hidden="false" customHeight="true" outlineLevel="0" collapsed="false"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customFormat="false" ht="15.75" hidden="false" customHeight="true" outlineLevel="0" collapsed="false"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customFormat="false" ht="15.75" hidden="false" customHeight="true" outlineLevel="0" collapsed="false"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customFormat="false" ht="15.75" hidden="false" customHeight="true" outlineLevel="0" collapsed="false"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customFormat="false" ht="15.75" hidden="false" customHeight="true" outlineLevel="0" collapsed="false"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customFormat="false" ht="15.75" hidden="false" customHeight="true" outlineLevel="0" collapsed="false"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customFormat="false" ht="15.75" hidden="false" customHeight="true" outlineLevel="0" collapsed="false"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customFormat="false" ht="15.75" hidden="false" customHeight="true" outlineLevel="0" collapsed="false"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customFormat="false" ht="15.75" hidden="false" customHeight="true" outlineLevel="0" collapsed="false"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customFormat="false" ht="15.75" hidden="false" customHeight="true" outlineLevel="0" collapsed="false"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customFormat="false" ht="15.75" hidden="false" customHeight="true" outlineLevel="0" collapsed="false"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customFormat="false" ht="15.75" hidden="false" customHeight="true" outlineLevel="0" collapsed="false"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customFormat="false" ht="15.75" hidden="false" customHeight="true" outlineLevel="0" collapsed="false"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customFormat="false" ht="15.75" hidden="false" customHeight="true" outlineLevel="0" collapsed="false"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customFormat="false" ht="15.75" hidden="false" customHeight="true" outlineLevel="0" collapsed="false"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customFormat="false" ht="15.75" hidden="false" customHeight="true" outlineLevel="0" collapsed="false"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customFormat="false" ht="15.75" hidden="false" customHeight="true" outlineLevel="0" collapsed="false"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customFormat="false" ht="15.75" hidden="false" customHeight="true" outlineLevel="0" collapsed="false"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customFormat="false" ht="15.75" hidden="false" customHeight="true" outlineLevel="0" collapsed="false"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customFormat="false" ht="15.75" hidden="false" customHeight="true" outlineLevel="0" collapsed="false"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customFormat="false" ht="15.75" hidden="false" customHeight="true" outlineLevel="0" collapsed="false"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customFormat="false" ht="15.75" hidden="false" customHeight="true" outlineLevel="0" collapsed="false"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customFormat="false" ht="15.75" hidden="false" customHeight="true" outlineLevel="0" collapsed="false"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customFormat="false" ht="15.75" hidden="false" customHeight="true" outlineLevel="0" collapsed="false"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customFormat="false" ht="15.75" hidden="false" customHeight="true" outlineLevel="0" collapsed="false"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customFormat="false" ht="15.75" hidden="false" customHeight="true" outlineLevel="0" collapsed="false"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customFormat="false" ht="15.75" hidden="false" customHeight="true" outlineLevel="0" collapsed="false"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customFormat="false" ht="15.75" hidden="false" customHeight="true" outlineLevel="0" collapsed="false"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customFormat="false" ht="15.75" hidden="false" customHeight="true" outlineLevel="0" collapsed="false"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customFormat="false" ht="15.75" hidden="false" customHeight="true" outlineLevel="0" collapsed="false"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customFormat="false" ht="15.75" hidden="false" customHeight="true" outlineLevel="0" collapsed="false"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customFormat="false" ht="15.75" hidden="false" customHeight="true" outlineLevel="0" collapsed="false"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customFormat="false" ht="15.75" hidden="false" customHeight="true" outlineLevel="0" collapsed="false"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customFormat="false" ht="15.75" hidden="false" customHeight="true" outlineLevel="0" collapsed="false"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customFormat="false" ht="15.75" hidden="false" customHeight="true" outlineLevel="0" collapsed="false"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customFormat="false" ht="15.75" hidden="false" customHeight="true" outlineLevel="0" collapsed="false"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customFormat="false" ht="15.75" hidden="false" customHeight="true" outlineLevel="0" collapsed="false"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customFormat="false" ht="15.75" hidden="false" customHeight="true" outlineLevel="0" collapsed="false"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customFormat="false" ht="15.75" hidden="false" customHeight="true" outlineLevel="0" collapsed="false"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customFormat="false" ht="15.75" hidden="false" customHeight="true" outlineLevel="0" collapsed="false"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customFormat="false" ht="15.75" hidden="false" customHeight="true" outlineLevel="0" collapsed="false"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customFormat="false" ht="15.75" hidden="false" customHeight="true" outlineLevel="0" collapsed="false"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customFormat="false" ht="15.75" hidden="false" customHeight="true" outlineLevel="0" collapsed="false"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customFormat="false" ht="15.75" hidden="false" customHeight="true" outlineLevel="0" collapsed="false"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customFormat="false" ht="15.75" hidden="false" customHeight="true" outlineLevel="0" collapsed="false"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customFormat="false" ht="15.75" hidden="false" customHeight="true" outlineLevel="0" collapsed="false"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customFormat="false" ht="15.75" hidden="false" customHeight="true" outlineLevel="0" collapsed="false"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customFormat="false" ht="15.75" hidden="false" customHeight="true" outlineLevel="0" collapsed="false"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customFormat="false" ht="15.75" hidden="false" customHeight="true" outlineLevel="0" collapsed="false"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customFormat="false" ht="15.75" hidden="false" customHeight="true" outlineLevel="0" collapsed="false"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customFormat="false" ht="15.75" hidden="false" customHeight="true" outlineLevel="0" collapsed="false"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customFormat="false" ht="15.75" hidden="false" customHeight="true" outlineLevel="0" collapsed="false"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customFormat="false" ht="15.75" hidden="false" customHeight="true" outlineLevel="0" collapsed="false"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customFormat="false" ht="15.75" hidden="false" customHeight="true" outlineLevel="0" collapsed="false"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customFormat="false" ht="15.75" hidden="false" customHeight="true" outlineLevel="0" collapsed="false"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customFormat="false" ht="15.75" hidden="false" customHeight="true" outlineLevel="0" collapsed="false"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customFormat="false" ht="15.75" hidden="false" customHeight="true" outlineLevel="0" collapsed="false"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customFormat="false" ht="15.75" hidden="false" customHeight="true" outlineLevel="0" collapsed="false"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customFormat="false" ht="15.75" hidden="false" customHeight="true" outlineLevel="0" collapsed="false"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customFormat="false" ht="15.75" hidden="false" customHeight="true" outlineLevel="0" collapsed="false"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customFormat="false" ht="15.75" hidden="false" customHeight="true" outlineLevel="0" collapsed="false"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customFormat="false" ht="15.75" hidden="false" customHeight="true" outlineLevel="0" collapsed="false"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customFormat="false" ht="15.75" hidden="false" customHeight="true" outlineLevel="0" collapsed="false"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customFormat="false" ht="15.75" hidden="false" customHeight="true" outlineLevel="0" collapsed="false"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customFormat="false" ht="15.75" hidden="false" customHeight="true" outlineLevel="0" collapsed="false"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customFormat="false" ht="15.75" hidden="false" customHeight="true" outlineLevel="0" collapsed="false"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customFormat="false" ht="15.75" hidden="false" customHeight="true" outlineLevel="0" collapsed="false"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customFormat="false" ht="15.75" hidden="false" customHeight="true" outlineLevel="0" collapsed="false"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customFormat="false" ht="15.75" hidden="false" customHeight="true" outlineLevel="0" collapsed="false"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customFormat="false" ht="15.75" hidden="false" customHeight="true" outlineLevel="0" collapsed="false"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customFormat="false" ht="15.75" hidden="false" customHeight="true" outlineLevel="0" collapsed="false"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customFormat="false" ht="15.75" hidden="false" customHeight="true" outlineLevel="0" collapsed="false"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customFormat="false" ht="15.75" hidden="false" customHeight="true" outlineLevel="0" collapsed="false"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customFormat="false" ht="15.75" hidden="false" customHeight="true" outlineLevel="0" collapsed="false"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customFormat="false" ht="15.75" hidden="false" customHeight="true" outlineLevel="0" collapsed="false"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customFormat="false" ht="15.75" hidden="false" customHeight="true" outlineLevel="0" collapsed="false"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customFormat="false" ht="15.75" hidden="false" customHeight="true" outlineLevel="0" collapsed="false"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customFormat="false" ht="15.75" hidden="false" customHeight="true" outlineLevel="0" collapsed="false"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customFormat="false" ht="15.75" hidden="false" customHeight="true" outlineLevel="0" collapsed="false"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customFormat="false" ht="15.75" hidden="false" customHeight="true" outlineLevel="0" collapsed="false"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customFormat="false" ht="15.75" hidden="false" customHeight="true" outlineLevel="0" collapsed="false"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customFormat="false" ht="15.75" hidden="false" customHeight="true" outlineLevel="0" collapsed="false"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customFormat="false" ht="15.75" hidden="false" customHeight="true" outlineLevel="0" collapsed="false"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customFormat="false" ht="15.75" hidden="false" customHeight="true" outlineLevel="0" collapsed="false"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customFormat="false" ht="15.75" hidden="false" customHeight="true" outlineLevel="0" collapsed="false"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customFormat="false" ht="15.75" hidden="false" customHeight="true" outlineLevel="0" collapsed="false"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customFormat="false" ht="15.75" hidden="false" customHeight="true" outlineLevel="0" collapsed="false"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customFormat="false" ht="15.75" hidden="false" customHeight="true" outlineLevel="0" collapsed="false"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customFormat="false" ht="15.75" hidden="false" customHeight="true" outlineLevel="0" collapsed="false"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customFormat="false" ht="15.75" hidden="false" customHeight="true" outlineLevel="0" collapsed="false"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customFormat="false" ht="15.75" hidden="false" customHeight="true" outlineLevel="0" collapsed="false"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customFormat="false" ht="15.75" hidden="false" customHeight="true" outlineLevel="0" collapsed="false"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customFormat="false" ht="15.75" hidden="false" customHeight="true" outlineLevel="0" collapsed="false"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customFormat="false" ht="15.75" hidden="false" customHeight="true" outlineLevel="0" collapsed="false"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customFormat="false" ht="15.75" hidden="false" customHeight="true" outlineLevel="0" collapsed="false"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customFormat="false" ht="15.75" hidden="false" customHeight="true" outlineLevel="0" collapsed="false"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customFormat="false" ht="15.75" hidden="false" customHeight="true" outlineLevel="0" collapsed="false"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customFormat="false" ht="15.75" hidden="false" customHeight="true" outlineLevel="0" collapsed="false"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customFormat="false" ht="15.75" hidden="false" customHeight="true" outlineLevel="0" collapsed="false"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customFormat="false" ht="15.75" hidden="false" customHeight="true" outlineLevel="0" collapsed="false"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customFormat="false" ht="15.75" hidden="false" customHeight="true" outlineLevel="0" collapsed="false"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customFormat="false" ht="15.75" hidden="false" customHeight="true" outlineLevel="0" collapsed="false"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customFormat="false" ht="15.75" hidden="false" customHeight="true" outlineLevel="0" collapsed="false"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customFormat="false" ht="15.75" hidden="false" customHeight="true" outlineLevel="0" collapsed="false"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customFormat="false" ht="15.75" hidden="false" customHeight="true" outlineLevel="0" collapsed="false"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customFormat="false" ht="15.75" hidden="false" customHeight="true" outlineLevel="0" collapsed="false"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customFormat="false" ht="15.75" hidden="false" customHeight="true" outlineLevel="0" collapsed="false"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customFormat="false" ht="15.75" hidden="false" customHeight="true" outlineLevel="0" collapsed="false"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customFormat="false" ht="15.75" hidden="false" customHeight="true" outlineLevel="0" collapsed="false"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customFormat="false" ht="15.75" hidden="false" customHeight="true" outlineLevel="0" collapsed="false"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customFormat="false" ht="15.75" hidden="false" customHeight="true" outlineLevel="0" collapsed="false"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customFormat="false" ht="15.75" hidden="false" customHeight="true" outlineLevel="0" collapsed="false"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customFormat="false" ht="15.75" hidden="false" customHeight="true" outlineLevel="0" collapsed="false"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customFormat="false" ht="15.75" hidden="false" customHeight="true" outlineLevel="0" collapsed="false"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customFormat="false" ht="15.75" hidden="false" customHeight="true" outlineLevel="0" collapsed="false"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customFormat="false" ht="15.75" hidden="false" customHeight="true" outlineLevel="0" collapsed="false"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customFormat="false" ht="15.75" hidden="false" customHeight="true" outlineLevel="0" collapsed="false"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customFormat="false" ht="15.75" hidden="false" customHeight="true" outlineLevel="0" collapsed="false"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customFormat="false" ht="15.75" hidden="false" customHeight="true" outlineLevel="0" collapsed="false"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customFormat="false" ht="15.75" hidden="false" customHeight="true" outlineLevel="0" collapsed="false"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customFormat="false" ht="15.75" hidden="false" customHeight="true" outlineLevel="0" collapsed="false"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customFormat="false" ht="15.75" hidden="false" customHeight="true" outlineLevel="0" collapsed="false"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customFormat="false" ht="15.75" hidden="false" customHeight="true" outlineLevel="0" collapsed="false"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customFormat="false" ht="15.75" hidden="false" customHeight="true" outlineLevel="0" collapsed="false"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customFormat="false" ht="15.75" hidden="false" customHeight="true" outlineLevel="0" collapsed="false"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customFormat="false" ht="15.75" hidden="false" customHeight="true" outlineLevel="0" collapsed="false"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customFormat="false" ht="15.75" hidden="false" customHeight="true" outlineLevel="0" collapsed="false"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customFormat="false" ht="15.75" hidden="false" customHeight="true" outlineLevel="0" collapsed="false"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customFormat="false" ht="15.75" hidden="false" customHeight="true" outlineLevel="0" collapsed="false"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customFormat="false" ht="15.75" hidden="false" customHeight="true" outlineLevel="0" collapsed="false"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customFormat="false" ht="15.75" hidden="false" customHeight="true" outlineLevel="0" collapsed="false"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customFormat="false" ht="15.75" hidden="false" customHeight="true" outlineLevel="0" collapsed="false"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customFormat="false" ht="15.75" hidden="false" customHeight="true" outlineLevel="0" collapsed="false"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customFormat="false" ht="15.75" hidden="false" customHeight="true" outlineLevel="0" collapsed="false"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customFormat="false" ht="15.75" hidden="false" customHeight="true" outlineLevel="0" collapsed="false"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customFormat="false" ht="15.75" hidden="false" customHeight="true" outlineLevel="0" collapsed="false"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customFormat="false" ht="15.75" hidden="false" customHeight="true" outlineLevel="0" collapsed="false"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customFormat="false" ht="15.75" hidden="false" customHeight="true" outlineLevel="0" collapsed="false"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customFormat="false" ht="15.75" hidden="false" customHeight="true" outlineLevel="0" collapsed="false"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customFormat="false" ht="15.75" hidden="false" customHeight="true" outlineLevel="0" collapsed="false"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customFormat="false" ht="15.75" hidden="false" customHeight="true" outlineLevel="0" collapsed="false"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customFormat="false" ht="15.75" hidden="false" customHeight="true" outlineLevel="0" collapsed="false"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customFormat="false" ht="15.75" hidden="false" customHeight="true" outlineLevel="0" collapsed="false"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customFormat="false" ht="15.75" hidden="false" customHeight="true" outlineLevel="0" collapsed="false"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customFormat="false" ht="15.75" hidden="false" customHeight="true" outlineLevel="0" collapsed="false"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customFormat="false" ht="15.75" hidden="false" customHeight="true" outlineLevel="0" collapsed="false"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customFormat="false" ht="15.75" hidden="false" customHeight="true" outlineLevel="0" collapsed="false"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customFormat="false" ht="15.75" hidden="false" customHeight="true" outlineLevel="0" collapsed="false"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customFormat="false" ht="15.75" hidden="false" customHeight="true" outlineLevel="0" collapsed="false"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customFormat="false" ht="15.75" hidden="false" customHeight="true" outlineLevel="0" collapsed="false"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customFormat="false" ht="15.75" hidden="false" customHeight="true" outlineLevel="0" collapsed="false"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customFormat="false" ht="15.75" hidden="false" customHeight="true" outlineLevel="0" collapsed="false"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customFormat="false" ht="15.75" hidden="false" customHeight="true" outlineLevel="0" collapsed="false"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customFormat="false" ht="15.75" hidden="false" customHeight="true" outlineLevel="0" collapsed="false"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customFormat="false" ht="15.75" hidden="false" customHeight="true" outlineLevel="0" collapsed="false"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customFormat="false" ht="15.75" hidden="false" customHeight="true" outlineLevel="0" collapsed="false"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customFormat="false" ht="15.75" hidden="false" customHeight="true" outlineLevel="0" collapsed="false"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customFormat="false" ht="15.75" hidden="false" customHeight="true" outlineLevel="0" collapsed="false"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customFormat="false" ht="15.75" hidden="false" customHeight="true" outlineLevel="0" collapsed="false"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customFormat="false" ht="15.75" hidden="false" customHeight="true" outlineLevel="0" collapsed="false"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customFormat="false" ht="15.75" hidden="false" customHeight="true" outlineLevel="0" collapsed="false"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customFormat="false" ht="15.75" hidden="false" customHeight="true" outlineLevel="0" collapsed="false"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customFormat="false" ht="15.75" hidden="false" customHeight="true" outlineLevel="0" collapsed="false"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customFormat="false" ht="15.75" hidden="false" customHeight="true" outlineLevel="0" collapsed="false"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customFormat="false" ht="15.75" hidden="false" customHeight="true" outlineLevel="0" collapsed="false"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customFormat="false" ht="15.75" hidden="false" customHeight="true" outlineLevel="0" collapsed="false"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customFormat="false" ht="15.75" hidden="false" customHeight="true" outlineLevel="0" collapsed="false"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customFormat="false" ht="15.75" hidden="false" customHeight="true" outlineLevel="0" collapsed="false"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customFormat="false" ht="15.75" hidden="false" customHeight="true" outlineLevel="0" collapsed="false"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customFormat="false" ht="15.75" hidden="false" customHeight="true" outlineLevel="0" collapsed="false"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customFormat="false" ht="15.75" hidden="false" customHeight="true" outlineLevel="0" collapsed="false"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customFormat="false" ht="15.75" hidden="false" customHeight="true" outlineLevel="0" collapsed="false"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customFormat="false" ht="15.75" hidden="false" customHeight="true" outlineLevel="0" collapsed="false"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customFormat="false" ht="15.75" hidden="false" customHeight="true" outlineLevel="0" collapsed="false"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customFormat="false" ht="15.75" hidden="false" customHeight="true" outlineLevel="0" collapsed="false"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customFormat="false" ht="15.75" hidden="false" customHeight="true" outlineLevel="0" collapsed="false"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customFormat="false" ht="15.75" hidden="false" customHeight="true" outlineLevel="0" collapsed="false"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customFormat="false" ht="15.75" hidden="false" customHeight="true" outlineLevel="0" collapsed="false"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customFormat="false" ht="15.75" hidden="false" customHeight="true" outlineLevel="0" collapsed="false"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customFormat="false" ht="15.75" hidden="false" customHeight="true" outlineLevel="0" collapsed="false"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customFormat="false" ht="15.75" hidden="false" customHeight="true" outlineLevel="0" collapsed="false"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customFormat="false" ht="15.75" hidden="false" customHeight="true" outlineLevel="0" collapsed="false"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customFormat="false" ht="15.75" hidden="false" customHeight="true" outlineLevel="0" collapsed="false"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customFormat="false" ht="15.75" hidden="false" customHeight="true" outlineLevel="0" collapsed="false"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customFormat="false" ht="15.75" hidden="false" customHeight="true" outlineLevel="0" collapsed="false"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customFormat="false" ht="15.75" hidden="false" customHeight="true" outlineLevel="0" collapsed="false"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customFormat="false" ht="15.75" hidden="false" customHeight="true" outlineLevel="0" collapsed="false"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customFormat="false" ht="15.75" hidden="false" customHeight="true" outlineLevel="0" collapsed="false"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customFormat="false" ht="15.75" hidden="false" customHeight="true" outlineLevel="0" collapsed="false"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customFormat="false" ht="15.75" hidden="false" customHeight="true" outlineLevel="0" collapsed="false"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customFormat="false" ht="15.75" hidden="false" customHeight="true" outlineLevel="0" collapsed="false"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customFormat="false" ht="15.75" hidden="false" customHeight="true" outlineLevel="0" collapsed="false"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customFormat="false" ht="15.75" hidden="false" customHeight="true" outlineLevel="0" collapsed="false"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customFormat="false" ht="15.75" hidden="false" customHeight="true" outlineLevel="0" collapsed="false"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customFormat="false" ht="15.75" hidden="false" customHeight="true" outlineLevel="0" collapsed="false"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customFormat="false" ht="15.75" hidden="false" customHeight="true" outlineLevel="0" collapsed="false"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customFormat="false" ht="15.75" hidden="false" customHeight="true" outlineLevel="0" collapsed="false"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customFormat="false" ht="15.75" hidden="false" customHeight="true" outlineLevel="0" collapsed="false"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customFormat="false" ht="15.75" hidden="false" customHeight="true" outlineLevel="0" collapsed="false"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customFormat="false" ht="15.75" hidden="false" customHeight="true" outlineLevel="0" collapsed="false"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customFormat="false" ht="15.75" hidden="false" customHeight="true" outlineLevel="0" collapsed="false"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customFormat="false" ht="15.75" hidden="false" customHeight="true" outlineLevel="0" collapsed="false"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customFormat="false" ht="15.75" hidden="false" customHeight="true" outlineLevel="0" collapsed="false"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customFormat="false" ht="15.75" hidden="false" customHeight="true" outlineLevel="0" collapsed="false"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customFormat="false" ht="15.75" hidden="false" customHeight="true" outlineLevel="0" collapsed="false"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customFormat="false" ht="15.75" hidden="false" customHeight="true" outlineLevel="0" collapsed="false"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customFormat="false" ht="15.75" hidden="false" customHeight="true" outlineLevel="0" collapsed="false"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customFormat="false" ht="15.75" hidden="false" customHeight="true" outlineLevel="0" collapsed="false"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customFormat="false" ht="15.75" hidden="false" customHeight="true" outlineLevel="0" collapsed="false"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customFormat="false" ht="15.75" hidden="false" customHeight="true" outlineLevel="0" collapsed="false"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customFormat="false" ht="15.75" hidden="false" customHeight="true" outlineLevel="0" collapsed="false"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customFormat="false" ht="15.75" hidden="false" customHeight="true" outlineLevel="0" collapsed="false"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customFormat="false" ht="15.75" hidden="false" customHeight="true" outlineLevel="0" collapsed="false"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B6" activeCellId="0" sqref="B6"/>
    </sheetView>
  </sheetViews>
  <sheetFormatPr defaultColWidth="14.433593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12"/>
    <col collapsed="false" customWidth="true" hidden="false" outlineLevel="0" max="4" min="3" style="1" width="26"/>
    <col collapsed="false" customWidth="true" hidden="false" outlineLevel="0" max="5" min="5" style="1" width="14"/>
    <col collapsed="false" customWidth="true" hidden="false" outlineLevel="0" max="6" min="6" style="1" width="20"/>
    <col collapsed="false" customWidth="true" hidden="false" outlineLevel="0" max="7" min="7" style="1" width="14"/>
    <col collapsed="false" customWidth="true" hidden="false" outlineLevel="0" max="8" min="8" style="1" width="60"/>
  </cols>
  <sheetData>
    <row r="1" customFormat="false" ht="17.25" hidden="false" customHeight="true" outlineLevel="0" collapsed="false">
      <c r="A1" s="2" t="s">
        <v>25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customFormat="false" ht="15" hidden="false" customHeight="true" outlineLevel="0" collapsed="false">
      <c r="A2" s="3" t="s">
        <v>26</v>
      </c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customFormat="false" ht="15" hidden="false" customHeight="true" outlineLevel="0" collapsed="false"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customFormat="false" ht="39" hidden="false" customHeight="true" outlineLevel="0" collapsed="false">
      <c r="A4" s="4" t="s">
        <v>27</v>
      </c>
      <c r="B4" s="4" t="s">
        <v>28</v>
      </c>
      <c r="C4" s="4" t="s">
        <v>29</v>
      </c>
      <c r="D4" s="4" t="s">
        <v>30</v>
      </c>
      <c r="E4" s="4" t="s">
        <v>2</v>
      </c>
      <c r="F4" s="4" t="s">
        <v>31</v>
      </c>
      <c r="G4" s="4" t="s">
        <v>32</v>
      </c>
      <c r="H4" s="4" t="s">
        <v>33</v>
      </c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customFormat="false" ht="15" hidden="false" customHeight="true" outlineLevel="0" collapsed="false">
      <c r="A5" s="7" t="n">
        <v>1</v>
      </c>
      <c r="B5" s="7" t="s">
        <v>34</v>
      </c>
      <c r="C5" s="7" t="s">
        <v>35</v>
      </c>
      <c r="D5" s="7" t="s">
        <v>36</v>
      </c>
      <c r="E5" s="13" t="n">
        <v>350</v>
      </c>
      <c r="F5" s="7" t="s">
        <v>37</v>
      </c>
      <c r="G5" s="7" t="s">
        <v>38</v>
      </c>
      <c r="H5" s="7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customFormat="false" ht="15" hidden="false" customHeight="true" outlineLevel="0" collapsed="false">
      <c r="A6" s="14" t="n">
        <v>2</v>
      </c>
      <c r="B6" s="14" t="s">
        <v>39</v>
      </c>
      <c r="C6" s="14" t="s">
        <v>40</v>
      </c>
      <c r="D6" s="14"/>
      <c r="E6" s="15" t="n">
        <v>10000</v>
      </c>
      <c r="F6" s="14" t="s">
        <v>41</v>
      </c>
      <c r="G6" s="14" t="s">
        <v>38</v>
      </c>
      <c r="H6" s="14" t="s">
        <v>42</v>
      </c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customFormat="false" ht="15" hidden="false" customHeight="true" outlineLevel="0" collapsed="false">
      <c r="A7" s="7" t="n">
        <v>3</v>
      </c>
      <c r="B7" s="7" t="s">
        <v>43</v>
      </c>
      <c r="C7" s="7" t="s">
        <v>35</v>
      </c>
      <c r="D7" s="7" t="s">
        <v>44</v>
      </c>
      <c r="E7" s="13" t="n">
        <v>50000</v>
      </c>
      <c r="F7" s="7" t="s">
        <v>45</v>
      </c>
      <c r="G7" s="7" t="s">
        <v>38</v>
      </c>
      <c r="H7" s="7" t="s">
        <v>46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customFormat="false" ht="15" hidden="false" customHeight="true" outlineLevel="0" collapsed="false">
      <c r="A8" s="14" t="n">
        <v>4</v>
      </c>
      <c r="B8" s="14" t="s">
        <v>39</v>
      </c>
      <c r="C8" s="14" t="s">
        <v>35</v>
      </c>
      <c r="D8" s="14"/>
      <c r="E8" s="15" t="n">
        <v>10000</v>
      </c>
      <c r="F8" s="14" t="s">
        <v>47</v>
      </c>
      <c r="G8" s="14" t="s">
        <v>38</v>
      </c>
      <c r="H8" s="14" t="s">
        <v>48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customFormat="false" ht="15" hidden="false" customHeight="true" outlineLevel="0" collapsed="false">
      <c r="A9" s="7" t="n">
        <v>5</v>
      </c>
      <c r="B9" s="7" t="s">
        <v>49</v>
      </c>
      <c r="C9" s="7" t="s">
        <v>35</v>
      </c>
      <c r="D9" s="7" t="s">
        <v>50</v>
      </c>
      <c r="E9" s="13" t="n">
        <v>500</v>
      </c>
      <c r="F9" s="7" t="s">
        <v>51</v>
      </c>
      <c r="G9" s="7" t="s">
        <v>38</v>
      </c>
      <c r="H9" s="7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customFormat="false" ht="15" hidden="false" customHeight="true" outlineLevel="0" collapsed="false">
      <c r="A10" s="7" t="n">
        <v>6</v>
      </c>
      <c r="B10" s="7" t="s">
        <v>49</v>
      </c>
      <c r="C10" s="7" t="s">
        <v>35</v>
      </c>
      <c r="D10" s="7" t="s">
        <v>52</v>
      </c>
      <c r="E10" s="13" t="n">
        <v>40000</v>
      </c>
      <c r="F10" s="7" t="s">
        <v>53</v>
      </c>
      <c r="G10" s="7" t="s">
        <v>38</v>
      </c>
      <c r="H10" s="7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customFormat="false" ht="15" hidden="false" customHeight="true" outlineLevel="0" collapsed="false">
      <c r="A11" s="7" t="n">
        <v>7</v>
      </c>
      <c r="B11" s="7" t="s">
        <v>54</v>
      </c>
      <c r="C11" s="7" t="s">
        <v>35</v>
      </c>
      <c r="D11" s="7" t="s">
        <v>55</v>
      </c>
      <c r="E11" s="13" t="n">
        <v>20000</v>
      </c>
      <c r="F11" s="7" t="s">
        <v>56</v>
      </c>
      <c r="G11" s="7" t="s">
        <v>38</v>
      </c>
      <c r="H11" s="7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customFormat="false" ht="15" hidden="false" customHeight="true" outlineLevel="0" collapsed="false">
      <c r="A12" s="7" t="n">
        <v>8</v>
      </c>
      <c r="B12" s="7" t="s">
        <v>57</v>
      </c>
      <c r="C12" s="7" t="s">
        <v>35</v>
      </c>
      <c r="D12" s="7" t="s">
        <v>58</v>
      </c>
      <c r="E12" s="13" t="n">
        <v>25000</v>
      </c>
      <c r="F12" s="7" t="s">
        <v>59</v>
      </c>
      <c r="G12" s="7" t="s">
        <v>38</v>
      </c>
      <c r="H12" s="7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customFormat="false" ht="15" hidden="false" customHeight="true" outlineLevel="0" collapsed="false">
      <c r="A13" s="14" t="n">
        <v>9</v>
      </c>
      <c r="B13" s="14" t="s">
        <v>60</v>
      </c>
      <c r="C13" s="14" t="s">
        <v>35</v>
      </c>
      <c r="D13" s="14"/>
      <c r="E13" s="15" t="n">
        <v>20000</v>
      </c>
      <c r="F13" s="14" t="s">
        <v>61</v>
      </c>
      <c r="G13" s="14" t="s">
        <v>38</v>
      </c>
      <c r="H13" s="14" t="s">
        <v>62</v>
      </c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customFormat="false" ht="15" hidden="false" customHeight="true" outlineLevel="0" collapsed="false">
      <c r="A14" s="7" t="n">
        <v>10</v>
      </c>
      <c r="B14" s="7" t="s">
        <v>63</v>
      </c>
      <c r="C14" s="7" t="s">
        <v>35</v>
      </c>
      <c r="D14" s="7" t="s">
        <v>64</v>
      </c>
      <c r="E14" s="13" t="n">
        <v>15000</v>
      </c>
      <c r="F14" s="7" t="s">
        <v>65</v>
      </c>
      <c r="G14" s="7" t="s">
        <v>38</v>
      </c>
      <c r="H14" s="7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customFormat="false" ht="15" hidden="false" customHeight="true" outlineLevel="0" collapsed="false">
      <c r="A15" s="7" t="n">
        <v>11</v>
      </c>
      <c r="B15" s="7" t="s">
        <v>66</v>
      </c>
      <c r="C15" s="7" t="s">
        <v>35</v>
      </c>
      <c r="D15" s="7" t="s">
        <v>67</v>
      </c>
      <c r="E15" s="13" t="n">
        <v>15000</v>
      </c>
      <c r="F15" s="7" t="s">
        <v>68</v>
      </c>
      <c r="G15" s="7" t="s">
        <v>38</v>
      </c>
      <c r="H15" s="7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customFormat="false" ht="15" hidden="false" customHeight="true" outlineLevel="0" collapsed="false">
      <c r="A16" s="7" t="n">
        <v>12</v>
      </c>
      <c r="B16" s="7" t="s">
        <v>69</v>
      </c>
      <c r="C16" s="7" t="s">
        <v>35</v>
      </c>
      <c r="D16" s="7" t="s">
        <v>58</v>
      </c>
      <c r="E16" s="13" t="n">
        <v>8000</v>
      </c>
      <c r="F16" s="7" t="s">
        <v>70</v>
      </c>
      <c r="G16" s="7" t="s">
        <v>38</v>
      </c>
      <c r="H16" s="7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customFormat="false" ht="15" hidden="false" customHeight="true" outlineLevel="0" collapsed="false">
      <c r="A17" s="7" t="n">
        <v>13</v>
      </c>
      <c r="B17" s="7" t="s">
        <v>71</v>
      </c>
      <c r="C17" s="7" t="s">
        <v>35</v>
      </c>
      <c r="D17" s="7" t="s">
        <v>64</v>
      </c>
      <c r="E17" s="13" t="n">
        <v>9900</v>
      </c>
      <c r="F17" s="7" t="s">
        <v>72</v>
      </c>
      <c r="G17" s="7" t="s">
        <v>38</v>
      </c>
      <c r="H17" s="7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customFormat="false" ht="15" hidden="false" customHeight="true" outlineLevel="0" collapsed="false">
      <c r="A18" s="7" t="n">
        <v>14</v>
      </c>
      <c r="B18" s="7" t="s">
        <v>71</v>
      </c>
      <c r="C18" s="7" t="s">
        <v>73</v>
      </c>
      <c r="D18" s="7" t="s">
        <v>74</v>
      </c>
      <c r="E18" s="13" t="n">
        <v>30000</v>
      </c>
      <c r="F18" s="7" t="s">
        <v>75</v>
      </c>
      <c r="G18" s="7" t="s">
        <v>38</v>
      </c>
      <c r="H18" s="7" t="s">
        <v>76</v>
      </c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customFormat="false" ht="15" hidden="false" customHeight="true" outlineLevel="0" collapsed="false">
      <c r="A19" s="7" t="n">
        <v>15</v>
      </c>
      <c r="B19" s="7" t="s">
        <v>77</v>
      </c>
      <c r="C19" s="7" t="s">
        <v>35</v>
      </c>
      <c r="D19" s="7" t="s">
        <v>64</v>
      </c>
      <c r="E19" s="13" t="n">
        <v>4500</v>
      </c>
      <c r="F19" s="7" t="s">
        <v>78</v>
      </c>
      <c r="G19" s="7" t="s">
        <v>38</v>
      </c>
      <c r="H19" s="7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customFormat="false" ht="15" hidden="false" customHeight="true" outlineLevel="0" collapsed="false">
      <c r="A20" s="7" t="n">
        <v>16</v>
      </c>
      <c r="B20" s="7" t="s">
        <v>79</v>
      </c>
      <c r="C20" s="7" t="s">
        <v>35</v>
      </c>
      <c r="D20" s="7" t="s">
        <v>50</v>
      </c>
      <c r="E20" s="13" t="n">
        <v>28000</v>
      </c>
      <c r="F20" s="7" t="s">
        <v>80</v>
      </c>
      <c r="G20" s="7" t="s">
        <v>38</v>
      </c>
      <c r="H20" s="7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customFormat="false" ht="15" hidden="false" customHeight="true" outlineLevel="0" collapsed="false">
      <c r="A21" s="7" t="n">
        <v>17</v>
      </c>
      <c r="B21" s="7" t="s">
        <v>79</v>
      </c>
      <c r="C21" s="7" t="s">
        <v>35</v>
      </c>
      <c r="D21" s="7" t="s">
        <v>64</v>
      </c>
      <c r="E21" s="13" t="n">
        <v>3100</v>
      </c>
      <c r="F21" s="7" t="s">
        <v>81</v>
      </c>
      <c r="G21" s="7" t="s">
        <v>38</v>
      </c>
      <c r="H21" s="7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customFormat="false" ht="15" hidden="false" customHeight="true" outlineLevel="0" collapsed="false">
      <c r="A22" s="1" t="n">
        <v>18</v>
      </c>
      <c r="B22" s="1" t="s">
        <v>82</v>
      </c>
      <c r="C22" s="1" t="s">
        <v>83</v>
      </c>
      <c r="E22" s="1" t="n">
        <v>5000</v>
      </c>
      <c r="F22" s="1" t="s">
        <v>84</v>
      </c>
      <c r="G22" s="1" t="s">
        <v>38</v>
      </c>
      <c r="H22" s="1" t="s">
        <v>85</v>
      </c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customFormat="false" ht="15" hidden="false" customHeight="true" outlineLevel="0" collapsed="false"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customFormat="false" ht="15" hidden="false" customHeight="true" outlineLevel="0" collapsed="false">
      <c r="D24" s="16" t="s">
        <v>86</v>
      </c>
      <c r="E24" s="17" t="n">
        <f aca="false">SUM(E5:E22)</f>
        <v>294350</v>
      </c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customFormat="false" ht="15" hidden="false" customHeight="true" outlineLevel="0" collapsed="false">
      <c r="D25" s="18" t="s">
        <v>87</v>
      </c>
      <c r="E25" s="17" t="n">
        <f aca="false">SUMIF(G5:G22,"Sí",E5:E22)</f>
        <v>294350</v>
      </c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customFormat="false" ht="15" hidden="false" customHeight="true" outlineLevel="0" collapsed="false">
      <c r="D26" s="18" t="s">
        <v>88</v>
      </c>
      <c r="E26" s="17" t="n">
        <f aca="false">SUMIF(G5:G22,"NO",E5:E22)</f>
        <v>0</v>
      </c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customFormat="false" ht="15" hidden="false" customHeight="true" outlineLevel="0" collapsed="false"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customFormat="false" ht="15" hidden="false" customHeight="true" outlineLevel="0" collapsed="false">
      <c r="D28" s="3" t="s">
        <v>89</v>
      </c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customFormat="false" ht="15.75" hidden="false" customHeight="true" outlineLevel="0" collapsed="false"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customFormat="false" ht="15.75" hidden="false" customHeight="true" outlineLevel="0" collapsed="false"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customFormat="false" ht="15.75" hidden="false" customHeight="true" outlineLevel="0" collapsed="false"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customFormat="false" ht="15.75" hidden="false" customHeight="true" outlineLevel="0" collapsed="false"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customFormat="false" ht="15.75" hidden="false" customHeight="true" outlineLevel="0" collapsed="false"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customFormat="false" ht="15.75" hidden="false" customHeight="true" outlineLevel="0" collapsed="false"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customFormat="false" ht="15.75" hidden="false" customHeight="true" outlineLevel="0" collapsed="false"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customFormat="false" ht="15.75" hidden="false" customHeight="true" outlineLevel="0" collapsed="false"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customFormat="false" ht="15.75" hidden="false" customHeight="true" outlineLevel="0" collapsed="false"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customFormat="false" ht="15.75" hidden="false" customHeight="true" outlineLevel="0" collapsed="false"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customFormat="false" ht="15.75" hidden="false" customHeight="true" outlineLevel="0" collapsed="false"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customFormat="false" ht="15.75" hidden="false" customHeight="true" outlineLevel="0" collapsed="false"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customFormat="false" ht="15.75" hidden="false" customHeight="true" outlineLevel="0" collapsed="false"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customFormat="false" ht="15.75" hidden="false" customHeight="true" outlineLevel="0" collapsed="false"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customFormat="false" ht="15.75" hidden="false" customHeight="true" outlineLevel="0" collapsed="false"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customFormat="false" ht="15.75" hidden="false" customHeight="true" outlineLevel="0" collapsed="false"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customFormat="false" ht="15.75" hidden="false" customHeight="true" outlineLevel="0" collapsed="false"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customFormat="false" ht="15.75" hidden="false" customHeight="true" outlineLevel="0" collapsed="false"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customFormat="false" ht="15.75" hidden="false" customHeight="true" outlineLevel="0" collapsed="false"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customFormat="false" ht="15.75" hidden="false" customHeight="true" outlineLevel="0" collapsed="false"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customFormat="false" ht="15.75" hidden="false" customHeight="true" outlineLevel="0" collapsed="false"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customFormat="false" ht="15.75" hidden="false" customHeight="true" outlineLevel="0" collapsed="false"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customFormat="false" ht="15.75" hidden="false" customHeight="true" outlineLevel="0" collapsed="false"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customFormat="false" ht="15.75" hidden="false" customHeight="true" outlineLevel="0" collapsed="false"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customFormat="false" ht="15.75" hidden="false" customHeight="true" outlineLevel="0" collapsed="false"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customFormat="false" ht="15.75" hidden="false" customHeight="true" outlineLevel="0" collapsed="false"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customFormat="false" ht="15.75" hidden="false" customHeight="true" outlineLevel="0" collapsed="false"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customFormat="false" ht="15.75" hidden="false" customHeight="true" outlineLevel="0" collapsed="false"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customFormat="false" ht="15.75" hidden="false" customHeight="true" outlineLevel="0" collapsed="false"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customFormat="false" ht="15.75" hidden="false" customHeight="true" outlineLevel="0" collapsed="false"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customFormat="false" ht="15.75" hidden="false" customHeight="true" outlineLevel="0" collapsed="false"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customFormat="false" ht="15.75" hidden="false" customHeight="true" outlineLevel="0" collapsed="false"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customFormat="false" ht="15.75" hidden="false" customHeight="true" outlineLevel="0" collapsed="false"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customFormat="false" ht="15.75" hidden="false" customHeight="true" outlineLevel="0" collapsed="false"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customFormat="false" ht="15.75" hidden="false" customHeight="true" outlineLevel="0" collapsed="false"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customFormat="false" ht="15.75" hidden="false" customHeight="true" outlineLevel="0" collapsed="false"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customFormat="false" ht="15.75" hidden="false" customHeight="true" outlineLevel="0" collapsed="false"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customFormat="false" ht="15.75" hidden="false" customHeight="true" outlineLevel="0" collapsed="false"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customFormat="false" ht="15.75" hidden="false" customHeight="true" outlineLevel="0" collapsed="false"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customFormat="false" ht="15.75" hidden="false" customHeight="true" outlineLevel="0" collapsed="false"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customFormat="false" ht="15.75" hidden="false" customHeight="true" outlineLevel="0" collapsed="false"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customFormat="false" ht="15.75" hidden="false" customHeight="true" outlineLevel="0" collapsed="false"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customFormat="false" ht="15.75" hidden="false" customHeight="true" outlineLevel="0" collapsed="false"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customFormat="false" ht="15.75" hidden="false" customHeight="true" outlineLevel="0" collapsed="false"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customFormat="false" ht="15.75" hidden="false" customHeight="true" outlineLevel="0" collapsed="false"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customFormat="false" ht="15.75" hidden="false" customHeight="true" outlineLevel="0" collapsed="false"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customFormat="false" ht="15.75" hidden="false" customHeight="true" outlineLevel="0" collapsed="false"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customFormat="false" ht="15.75" hidden="false" customHeight="true" outlineLevel="0" collapsed="false"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customFormat="false" ht="15.75" hidden="false" customHeight="true" outlineLevel="0" collapsed="false"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customFormat="false" ht="15.75" hidden="false" customHeight="true" outlineLevel="0" collapsed="false"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customFormat="false" ht="15.75" hidden="false" customHeight="true" outlineLevel="0" collapsed="false"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customFormat="false" ht="15.75" hidden="false" customHeight="true" outlineLevel="0" collapsed="false"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customFormat="false" ht="15.75" hidden="false" customHeight="true" outlineLevel="0" collapsed="false"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customFormat="false" ht="15.75" hidden="false" customHeight="true" outlineLevel="0" collapsed="false"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customFormat="false" ht="15.75" hidden="false" customHeight="true" outlineLevel="0" collapsed="false"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customFormat="false" ht="15.75" hidden="false" customHeight="true" outlineLevel="0" collapsed="false"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customFormat="false" ht="15.75" hidden="false" customHeight="true" outlineLevel="0" collapsed="false"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customFormat="false" ht="15.75" hidden="false" customHeight="true" outlineLevel="0" collapsed="false"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customFormat="false" ht="15.75" hidden="false" customHeight="true" outlineLevel="0" collapsed="false"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customFormat="false" ht="15.75" hidden="false" customHeight="true" outlineLevel="0" collapsed="false"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customFormat="false" ht="15.75" hidden="false" customHeight="true" outlineLevel="0" collapsed="false"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customFormat="false" ht="15.75" hidden="false" customHeight="true" outlineLevel="0" collapsed="false"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customFormat="false" ht="15.75" hidden="false" customHeight="true" outlineLevel="0" collapsed="false"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customFormat="false" ht="15.75" hidden="false" customHeight="true" outlineLevel="0" collapsed="false"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customFormat="false" ht="15.75" hidden="false" customHeight="true" outlineLevel="0" collapsed="false"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customFormat="false" ht="15.75" hidden="false" customHeight="true" outlineLevel="0" collapsed="false"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customFormat="false" ht="15.75" hidden="false" customHeight="true" outlineLevel="0" collapsed="false"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customFormat="false" ht="15.75" hidden="false" customHeight="true" outlineLevel="0" collapsed="false"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customFormat="false" ht="15.75" hidden="false" customHeight="true" outlineLevel="0" collapsed="false"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customFormat="false" ht="15.75" hidden="false" customHeight="true" outlineLevel="0" collapsed="false"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customFormat="false" ht="15.75" hidden="false" customHeight="true" outlineLevel="0" collapsed="false"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customFormat="false" ht="15.75" hidden="false" customHeight="true" outlineLevel="0" collapsed="false"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customFormat="false" ht="15.75" hidden="false" customHeight="true" outlineLevel="0" collapsed="false"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customFormat="false" ht="15.75" hidden="false" customHeight="true" outlineLevel="0" collapsed="false"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customFormat="false" ht="15.75" hidden="false" customHeight="true" outlineLevel="0" collapsed="false"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customFormat="false" ht="15.75" hidden="false" customHeight="true" outlineLevel="0" collapsed="false"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customFormat="false" ht="15.75" hidden="false" customHeight="true" outlineLevel="0" collapsed="false"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customFormat="false" ht="15.75" hidden="false" customHeight="true" outlineLevel="0" collapsed="false"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customFormat="false" ht="15.75" hidden="false" customHeight="true" outlineLevel="0" collapsed="false"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customFormat="false" ht="15.75" hidden="false" customHeight="true" outlineLevel="0" collapsed="false"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customFormat="false" ht="15.75" hidden="false" customHeight="true" outlineLevel="0" collapsed="false"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customFormat="false" ht="15.75" hidden="false" customHeight="true" outlineLevel="0" collapsed="false"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customFormat="false" ht="15.75" hidden="false" customHeight="true" outlineLevel="0" collapsed="false"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customFormat="false" ht="15.75" hidden="false" customHeight="true" outlineLevel="0" collapsed="false"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customFormat="false" ht="15.75" hidden="false" customHeight="true" outlineLevel="0" collapsed="false"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customFormat="false" ht="15.75" hidden="false" customHeight="true" outlineLevel="0" collapsed="false"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customFormat="false" ht="15.75" hidden="false" customHeight="true" outlineLevel="0" collapsed="false"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customFormat="false" ht="15.75" hidden="false" customHeight="true" outlineLevel="0" collapsed="false"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customFormat="false" ht="15.75" hidden="false" customHeight="true" outlineLevel="0" collapsed="false"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customFormat="false" ht="15.75" hidden="false" customHeight="true" outlineLevel="0" collapsed="false"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customFormat="false" ht="15.75" hidden="false" customHeight="true" outlineLevel="0" collapsed="false"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customFormat="false" ht="15.75" hidden="false" customHeight="true" outlineLevel="0" collapsed="false"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customFormat="false" ht="15.75" hidden="false" customHeight="true" outlineLevel="0" collapsed="false"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customFormat="false" ht="15.75" hidden="false" customHeight="true" outlineLevel="0" collapsed="false"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customFormat="false" ht="15.75" hidden="false" customHeight="true" outlineLevel="0" collapsed="false"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customFormat="false" ht="15.75" hidden="false" customHeight="true" outlineLevel="0" collapsed="false"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customFormat="false" ht="15.75" hidden="false" customHeight="true" outlineLevel="0" collapsed="false"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customFormat="false" ht="15.75" hidden="false" customHeight="true" outlineLevel="0" collapsed="false"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customFormat="false" ht="15.75" hidden="false" customHeight="true" outlineLevel="0" collapsed="false"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customFormat="false" ht="15.75" hidden="false" customHeight="true" outlineLevel="0" collapsed="false"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customFormat="false" ht="15.75" hidden="false" customHeight="true" outlineLevel="0" collapsed="false"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customFormat="false" ht="15.75" hidden="false" customHeight="true" outlineLevel="0" collapsed="false"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customFormat="false" ht="15.75" hidden="false" customHeight="true" outlineLevel="0" collapsed="false"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customFormat="false" ht="15.75" hidden="false" customHeight="true" outlineLevel="0" collapsed="false"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customFormat="false" ht="15.75" hidden="false" customHeight="true" outlineLevel="0" collapsed="false"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customFormat="false" ht="15.75" hidden="false" customHeight="true" outlineLevel="0" collapsed="false"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customFormat="false" ht="15.75" hidden="false" customHeight="true" outlineLevel="0" collapsed="false"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customFormat="false" ht="15.75" hidden="false" customHeight="true" outlineLevel="0" collapsed="false"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customFormat="false" ht="15.75" hidden="false" customHeight="true" outlineLevel="0" collapsed="false"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customFormat="false" ht="15.75" hidden="false" customHeight="true" outlineLevel="0" collapsed="false"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customFormat="false" ht="15.75" hidden="false" customHeight="true" outlineLevel="0" collapsed="false"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customFormat="false" ht="15.75" hidden="false" customHeight="true" outlineLevel="0" collapsed="false"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customFormat="false" ht="15.75" hidden="false" customHeight="true" outlineLevel="0" collapsed="false"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customFormat="false" ht="15.75" hidden="false" customHeight="true" outlineLevel="0" collapsed="false"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customFormat="false" ht="15.75" hidden="false" customHeight="true" outlineLevel="0" collapsed="false"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customFormat="false" ht="15.75" hidden="false" customHeight="true" outlineLevel="0" collapsed="false"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customFormat="false" ht="15.75" hidden="false" customHeight="true" outlineLevel="0" collapsed="false"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customFormat="false" ht="15.75" hidden="false" customHeight="true" outlineLevel="0" collapsed="false"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customFormat="false" ht="15.75" hidden="false" customHeight="true" outlineLevel="0" collapsed="false"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customFormat="false" ht="15.75" hidden="false" customHeight="true" outlineLevel="0" collapsed="false"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customFormat="false" ht="15.75" hidden="false" customHeight="true" outlineLevel="0" collapsed="false"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customFormat="false" ht="15.75" hidden="false" customHeight="true" outlineLevel="0" collapsed="false"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customFormat="false" ht="15.75" hidden="false" customHeight="true" outlineLevel="0" collapsed="false"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customFormat="false" ht="15.75" hidden="false" customHeight="true" outlineLevel="0" collapsed="false"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customFormat="false" ht="15.75" hidden="false" customHeight="true" outlineLevel="0" collapsed="false"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customFormat="false" ht="15.75" hidden="false" customHeight="true" outlineLevel="0" collapsed="false"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customFormat="false" ht="15.75" hidden="false" customHeight="true" outlineLevel="0" collapsed="false"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customFormat="false" ht="15.75" hidden="false" customHeight="true" outlineLevel="0" collapsed="false"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customFormat="false" ht="15.75" hidden="false" customHeight="true" outlineLevel="0" collapsed="false"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customFormat="false" ht="15.75" hidden="false" customHeight="true" outlineLevel="0" collapsed="false"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customFormat="false" ht="15.75" hidden="false" customHeight="true" outlineLevel="0" collapsed="false"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customFormat="false" ht="15.75" hidden="false" customHeight="true" outlineLevel="0" collapsed="false"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customFormat="false" ht="15.75" hidden="false" customHeight="true" outlineLevel="0" collapsed="false"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customFormat="false" ht="15.75" hidden="false" customHeight="true" outlineLevel="0" collapsed="false"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customFormat="false" ht="15.75" hidden="false" customHeight="true" outlineLevel="0" collapsed="false"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customFormat="false" ht="15.75" hidden="false" customHeight="true" outlineLevel="0" collapsed="false"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customFormat="false" ht="15.75" hidden="false" customHeight="true" outlineLevel="0" collapsed="false"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customFormat="false" ht="15.75" hidden="false" customHeight="true" outlineLevel="0" collapsed="false"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customFormat="false" ht="15.75" hidden="false" customHeight="true" outlineLevel="0" collapsed="false"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customFormat="false" ht="15.75" hidden="false" customHeight="true" outlineLevel="0" collapsed="false"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customFormat="false" ht="15.75" hidden="false" customHeight="true" outlineLevel="0" collapsed="false"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customFormat="false" ht="15.75" hidden="false" customHeight="true" outlineLevel="0" collapsed="false"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customFormat="false" ht="15.75" hidden="false" customHeight="true" outlineLevel="0" collapsed="false"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customFormat="false" ht="15.75" hidden="false" customHeight="true" outlineLevel="0" collapsed="false"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customFormat="false" ht="15.75" hidden="false" customHeight="true" outlineLevel="0" collapsed="false"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customFormat="false" ht="15.75" hidden="false" customHeight="true" outlineLevel="0" collapsed="false"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customFormat="false" ht="15.75" hidden="false" customHeight="true" outlineLevel="0" collapsed="false"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customFormat="false" ht="15.75" hidden="false" customHeight="true" outlineLevel="0" collapsed="false"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customFormat="false" ht="15.75" hidden="false" customHeight="true" outlineLevel="0" collapsed="false"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customFormat="false" ht="15.75" hidden="false" customHeight="true" outlineLevel="0" collapsed="false"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customFormat="false" ht="15.75" hidden="false" customHeight="true" outlineLevel="0" collapsed="false"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customFormat="false" ht="15.75" hidden="false" customHeight="true" outlineLevel="0" collapsed="false"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customFormat="false" ht="15.75" hidden="false" customHeight="true" outlineLevel="0" collapsed="false"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customFormat="false" ht="15.75" hidden="false" customHeight="true" outlineLevel="0" collapsed="false"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customFormat="false" ht="15.75" hidden="false" customHeight="true" outlineLevel="0" collapsed="false"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customFormat="false" ht="15.75" hidden="false" customHeight="true" outlineLevel="0" collapsed="false"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customFormat="false" ht="15.75" hidden="false" customHeight="true" outlineLevel="0" collapsed="false"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customFormat="false" ht="15.75" hidden="false" customHeight="true" outlineLevel="0" collapsed="false"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customFormat="false" ht="15.75" hidden="false" customHeight="true" outlineLevel="0" collapsed="false"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customFormat="false" ht="15.75" hidden="false" customHeight="true" outlineLevel="0" collapsed="false"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customFormat="false" ht="15.75" hidden="false" customHeight="true" outlineLevel="0" collapsed="false"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customFormat="false" ht="15.75" hidden="false" customHeight="true" outlineLevel="0" collapsed="false"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customFormat="false" ht="15.75" hidden="false" customHeight="true" outlineLevel="0" collapsed="false"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customFormat="false" ht="15.75" hidden="false" customHeight="true" outlineLevel="0" collapsed="false"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customFormat="false" ht="15.75" hidden="false" customHeight="true" outlineLevel="0" collapsed="false"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customFormat="false" ht="15.75" hidden="false" customHeight="true" outlineLevel="0" collapsed="false"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customFormat="false" ht="15.75" hidden="false" customHeight="true" outlineLevel="0" collapsed="false"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customFormat="false" ht="15.75" hidden="false" customHeight="true" outlineLevel="0" collapsed="false"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customFormat="false" ht="15.75" hidden="false" customHeight="true" outlineLevel="0" collapsed="false"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customFormat="false" ht="15.75" hidden="false" customHeight="true" outlineLevel="0" collapsed="false"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customFormat="false" ht="15.75" hidden="false" customHeight="true" outlineLevel="0" collapsed="false"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customFormat="false" ht="15.75" hidden="false" customHeight="true" outlineLevel="0" collapsed="false"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customFormat="false" ht="15.75" hidden="false" customHeight="true" outlineLevel="0" collapsed="false"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customFormat="false" ht="15.75" hidden="false" customHeight="true" outlineLevel="0" collapsed="false"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customFormat="false" ht="15.75" hidden="false" customHeight="true" outlineLevel="0" collapsed="false"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customFormat="false" ht="15.75" hidden="false" customHeight="true" outlineLevel="0" collapsed="false"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customFormat="false" ht="15.75" hidden="false" customHeight="true" outlineLevel="0" collapsed="false"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customFormat="false" ht="15.75" hidden="false" customHeight="true" outlineLevel="0" collapsed="false"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customFormat="false" ht="15.75" hidden="false" customHeight="true" outlineLevel="0" collapsed="false"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customFormat="false" ht="15.75" hidden="false" customHeight="true" outlineLevel="0" collapsed="false"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customFormat="false" ht="15.75" hidden="false" customHeight="true" outlineLevel="0" collapsed="false"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customFormat="false" ht="15.75" hidden="false" customHeight="true" outlineLevel="0" collapsed="false"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customFormat="false" ht="15.75" hidden="false" customHeight="true" outlineLevel="0" collapsed="false"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customFormat="false" ht="15.75" hidden="false" customHeight="true" outlineLevel="0" collapsed="false"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customFormat="false" ht="15.75" hidden="false" customHeight="true" outlineLevel="0" collapsed="false"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customFormat="false" ht="15.75" hidden="false" customHeight="true" outlineLevel="0" collapsed="false"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customFormat="false" ht="15.75" hidden="false" customHeight="true" outlineLevel="0" collapsed="false"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customFormat="false" ht="15.75" hidden="false" customHeight="true" outlineLevel="0" collapsed="false"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customFormat="false" ht="15.75" hidden="false" customHeight="true" outlineLevel="0" collapsed="false"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customFormat="false" ht="15.75" hidden="false" customHeight="true" outlineLevel="0" collapsed="false"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customFormat="false" ht="15.75" hidden="false" customHeight="true" outlineLevel="0" collapsed="false"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customFormat="false" ht="15.75" hidden="false" customHeight="true" outlineLevel="0" collapsed="false"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customFormat="false" ht="15.75" hidden="false" customHeight="true" outlineLevel="0" collapsed="false"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customFormat="false" ht="15.75" hidden="false" customHeight="true" outlineLevel="0" collapsed="false"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customFormat="false" ht="15.75" hidden="false" customHeight="true" outlineLevel="0" collapsed="false"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customFormat="false" ht="15.75" hidden="false" customHeight="true" outlineLevel="0" collapsed="false"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customFormat="false" ht="15.75" hidden="false" customHeight="true" outlineLevel="0" collapsed="false"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customFormat="false" ht="15.75" hidden="false" customHeight="true" outlineLevel="0" collapsed="false"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customFormat="false" ht="15.75" hidden="false" customHeight="true" outlineLevel="0" collapsed="false"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customFormat="false" ht="15.75" hidden="false" customHeight="true" outlineLevel="0" collapsed="false"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customFormat="false" ht="15.75" hidden="false" customHeight="true" outlineLevel="0" collapsed="false"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customFormat="false" ht="15.75" hidden="false" customHeight="true" outlineLevel="0" collapsed="false"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customFormat="false" ht="15.75" hidden="false" customHeight="true" outlineLevel="0" collapsed="false"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customFormat="false" ht="15.75" hidden="false" customHeight="true" outlineLevel="0" collapsed="false"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customFormat="false" ht="15.75" hidden="false" customHeight="true" outlineLevel="0" collapsed="false"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customFormat="false" ht="15.75" hidden="false" customHeight="true" outlineLevel="0" collapsed="false"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customFormat="false" ht="15.75" hidden="false" customHeight="true" outlineLevel="0" collapsed="false"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customFormat="false" ht="15.75" hidden="false" customHeight="true" outlineLevel="0" collapsed="false"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customFormat="false" ht="15.75" hidden="false" customHeight="true" outlineLevel="0" collapsed="false"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customFormat="false" ht="15.75" hidden="false" customHeight="true" outlineLevel="0" collapsed="false"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customFormat="false" ht="15.75" hidden="false" customHeight="true" outlineLevel="0" collapsed="false"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customFormat="false" ht="15.75" hidden="false" customHeight="true" outlineLevel="0" collapsed="false"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customFormat="false" ht="15.75" hidden="false" customHeight="true" outlineLevel="0" collapsed="false"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customFormat="false" ht="15.75" hidden="false" customHeight="true" outlineLevel="0" collapsed="false"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customFormat="false" ht="15.75" hidden="false" customHeight="true" outlineLevel="0" collapsed="false"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customFormat="false" ht="15.75" hidden="false" customHeight="true" outlineLevel="0" collapsed="false"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customFormat="false" ht="15.75" hidden="false" customHeight="true" outlineLevel="0" collapsed="false"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customFormat="false" ht="15.75" hidden="false" customHeight="true" outlineLevel="0" collapsed="false"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customFormat="false" ht="15.75" hidden="false" customHeight="true" outlineLevel="0" collapsed="false"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customFormat="false" ht="15.75" hidden="false" customHeight="true" outlineLevel="0" collapsed="false"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customFormat="false" ht="15.75" hidden="false" customHeight="true" outlineLevel="0" collapsed="false"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customFormat="false" ht="15.75" hidden="false" customHeight="true" outlineLevel="0" collapsed="false"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customFormat="false" ht="15.75" hidden="false" customHeight="true" outlineLevel="0" collapsed="false"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customFormat="false" ht="15.75" hidden="false" customHeight="true" outlineLevel="0" collapsed="false"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customFormat="false" ht="15.75" hidden="false" customHeight="true" outlineLevel="0" collapsed="false"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customFormat="false" ht="15.75" hidden="false" customHeight="true" outlineLevel="0" collapsed="false"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customFormat="false" ht="15.75" hidden="false" customHeight="true" outlineLevel="0" collapsed="false"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customFormat="false" ht="15.75" hidden="false" customHeight="true" outlineLevel="0" collapsed="false"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customFormat="false" ht="15.75" hidden="false" customHeight="true" outlineLevel="0" collapsed="false"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customFormat="false" ht="15.75" hidden="false" customHeight="true" outlineLevel="0" collapsed="false"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customFormat="false" ht="15.75" hidden="false" customHeight="true" outlineLevel="0" collapsed="false"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customFormat="false" ht="15.75" hidden="false" customHeight="true" outlineLevel="0" collapsed="false"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customFormat="false" ht="15.75" hidden="false" customHeight="true" outlineLevel="0" collapsed="false"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customFormat="false" ht="15.75" hidden="false" customHeight="true" outlineLevel="0" collapsed="false"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customFormat="false" ht="15.75" hidden="false" customHeight="true" outlineLevel="0" collapsed="false"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customFormat="false" ht="15.75" hidden="false" customHeight="true" outlineLevel="0" collapsed="false"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customFormat="false" ht="15.75" hidden="false" customHeight="true" outlineLevel="0" collapsed="false"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customFormat="false" ht="15.75" hidden="false" customHeight="true" outlineLevel="0" collapsed="false"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customFormat="false" ht="15.75" hidden="false" customHeight="true" outlineLevel="0" collapsed="false"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customFormat="false" ht="15.75" hidden="false" customHeight="true" outlineLevel="0" collapsed="false"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customFormat="false" ht="15.75" hidden="false" customHeight="true" outlineLevel="0" collapsed="false"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customFormat="false" ht="15.75" hidden="false" customHeight="true" outlineLevel="0" collapsed="false"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customFormat="false" ht="15.75" hidden="false" customHeight="true" outlineLevel="0" collapsed="false"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customFormat="false" ht="15.75" hidden="false" customHeight="true" outlineLevel="0" collapsed="false"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customFormat="false" ht="15.75" hidden="false" customHeight="true" outlineLevel="0" collapsed="false"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customFormat="false" ht="15.75" hidden="false" customHeight="true" outlineLevel="0" collapsed="false"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customFormat="false" ht="15.75" hidden="false" customHeight="true" outlineLevel="0" collapsed="false"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customFormat="false" ht="15.75" hidden="false" customHeight="true" outlineLevel="0" collapsed="false"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customFormat="false" ht="15.75" hidden="false" customHeight="true" outlineLevel="0" collapsed="false"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customFormat="false" ht="15.75" hidden="false" customHeight="true" outlineLevel="0" collapsed="false"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customFormat="false" ht="15.75" hidden="false" customHeight="true" outlineLevel="0" collapsed="false"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customFormat="false" ht="15.75" hidden="false" customHeight="true" outlineLevel="0" collapsed="false"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customFormat="false" ht="15.75" hidden="false" customHeight="true" outlineLevel="0" collapsed="false"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customFormat="false" ht="15.75" hidden="false" customHeight="true" outlineLevel="0" collapsed="false"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customFormat="false" ht="15.75" hidden="false" customHeight="true" outlineLevel="0" collapsed="false"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customFormat="false" ht="15.75" hidden="false" customHeight="true" outlineLevel="0" collapsed="false"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customFormat="false" ht="15.75" hidden="false" customHeight="true" outlineLevel="0" collapsed="false"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customFormat="false" ht="15.75" hidden="false" customHeight="true" outlineLevel="0" collapsed="false"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customFormat="false" ht="15.75" hidden="false" customHeight="true" outlineLevel="0" collapsed="false"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customFormat="false" ht="15.75" hidden="false" customHeight="true" outlineLevel="0" collapsed="false"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customFormat="false" ht="15.75" hidden="false" customHeight="true" outlineLevel="0" collapsed="false"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customFormat="false" ht="15.75" hidden="false" customHeight="true" outlineLevel="0" collapsed="false"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customFormat="false" ht="15.75" hidden="false" customHeight="true" outlineLevel="0" collapsed="false"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customFormat="false" ht="15.75" hidden="false" customHeight="true" outlineLevel="0" collapsed="false"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customFormat="false" ht="15.75" hidden="false" customHeight="true" outlineLevel="0" collapsed="false"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customFormat="false" ht="15.75" hidden="false" customHeight="true" outlineLevel="0" collapsed="false"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customFormat="false" ht="15.75" hidden="false" customHeight="true" outlineLevel="0" collapsed="false"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customFormat="false" ht="15.75" hidden="false" customHeight="true" outlineLevel="0" collapsed="false"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customFormat="false" ht="15.75" hidden="false" customHeight="true" outlineLevel="0" collapsed="false"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customFormat="false" ht="15.75" hidden="false" customHeight="true" outlineLevel="0" collapsed="false"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customFormat="false" ht="15.75" hidden="false" customHeight="true" outlineLevel="0" collapsed="false"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customFormat="false" ht="15.75" hidden="false" customHeight="true" outlineLevel="0" collapsed="false"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customFormat="false" ht="15.75" hidden="false" customHeight="true" outlineLevel="0" collapsed="false"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customFormat="false" ht="15.75" hidden="false" customHeight="true" outlineLevel="0" collapsed="false"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customFormat="false" ht="15.75" hidden="false" customHeight="true" outlineLevel="0" collapsed="false"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customFormat="false" ht="15.75" hidden="false" customHeight="true" outlineLevel="0" collapsed="false"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customFormat="false" ht="15.75" hidden="false" customHeight="true" outlineLevel="0" collapsed="false"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customFormat="false" ht="15.75" hidden="false" customHeight="true" outlineLevel="0" collapsed="false"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customFormat="false" ht="15.75" hidden="false" customHeight="true" outlineLevel="0" collapsed="false"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customFormat="false" ht="15.75" hidden="false" customHeight="true" outlineLevel="0" collapsed="false"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customFormat="false" ht="15.75" hidden="false" customHeight="true" outlineLevel="0" collapsed="false"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customFormat="false" ht="15.75" hidden="false" customHeight="true" outlineLevel="0" collapsed="false"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customFormat="false" ht="15.75" hidden="false" customHeight="true" outlineLevel="0" collapsed="false"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customFormat="false" ht="15.75" hidden="false" customHeight="true" outlineLevel="0" collapsed="false"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customFormat="false" ht="15.75" hidden="false" customHeight="true" outlineLevel="0" collapsed="false"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customFormat="false" ht="15.75" hidden="false" customHeight="true" outlineLevel="0" collapsed="false"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customFormat="false" ht="15.75" hidden="false" customHeight="true" outlineLevel="0" collapsed="false"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customFormat="false" ht="15.75" hidden="false" customHeight="true" outlineLevel="0" collapsed="false"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customFormat="false" ht="15.75" hidden="false" customHeight="true" outlineLevel="0" collapsed="false"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customFormat="false" ht="15.75" hidden="false" customHeight="true" outlineLevel="0" collapsed="false"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customFormat="false" ht="15.75" hidden="false" customHeight="true" outlineLevel="0" collapsed="false"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customFormat="false" ht="15.75" hidden="false" customHeight="true" outlineLevel="0" collapsed="false"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customFormat="false" ht="15.75" hidden="false" customHeight="true" outlineLevel="0" collapsed="false"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customFormat="false" ht="15.75" hidden="false" customHeight="true" outlineLevel="0" collapsed="false"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customFormat="false" ht="15.75" hidden="false" customHeight="true" outlineLevel="0" collapsed="false"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customFormat="false" ht="15.75" hidden="false" customHeight="true" outlineLevel="0" collapsed="false"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customFormat="false" ht="15.75" hidden="false" customHeight="true" outlineLevel="0" collapsed="false"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customFormat="false" ht="15.75" hidden="false" customHeight="true" outlineLevel="0" collapsed="false"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customFormat="false" ht="15.75" hidden="false" customHeight="true" outlineLevel="0" collapsed="false"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customFormat="false" ht="15.75" hidden="false" customHeight="true" outlineLevel="0" collapsed="false"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customFormat="false" ht="15.75" hidden="false" customHeight="true" outlineLevel="0" collapsed="false"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customFormat="false" ht="15.75" hidden="false" customHeight="true" outlineLevel="0" collapsed="false"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customFormat="false" ht="15.75" hidden="false" customHeight="true" outlineLevel="0" collapsed="false"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customFormat="false" ht="15.75" hidden="false" customHeight="true" outlineLevel="0" collapsed="false"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customFormat="false" ht="15.75" hidden="false" customHeight="true" outlineLevel="0" collapsed="false"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customFormat="false" ht="15.75" hidden="false" customHeight="true" outlineLevel="0" collapsed="false"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customFormat="false" ht="15.75" hidden="false" customHeight="true" outlineLevel="0" collapsed="false"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customFormat="false" ht="15.75" hidden="false" customHeight="true" outlineLevel="0" collapsed="false"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customFormat="false" ht="15.75" hidden="false" customHeight="true" outlineLevel="0" collapsed="false"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customFormat="false" ht="15.75" hidden="false" customHeight="true" outlineLevel="0" collapsed="false"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customFormat="false" ht="15.75" hidden="false" customHeight="true" outlineLevel="0" collapsed="false"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customFormat="false" ht="15.75" hidden="false" customHeight="true" outlineLevel="0" collapsed="false"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customFormat="false" ht="15.75" hidden="false" customHeight="true" outlineLevel="0" collapsed="false"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customFormat="false" ht="15.75" hidden="false" customHeight="true" outlineLevel="0" collapsed="false"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customFormat="false" ht="15.75" hidden="false" customHeight="true" outlineLevel="0" collapsed="false"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customFormat="false" ht="15.75" hidden="false" customHeight="true" outlineLevel="0" collapsed="false"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customFormat="false" ht="15.75" hidden="false" customHeight="true" outlineLevel="0" collapsed="false"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customFormat="false" ht="15.75" hidden="false" customHeight="true" outlineLevel="0" collapsed="false"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customFormat="false" ht="15.75" hidden="false" customHeight="true" outlineLevel="0" collapsed="false"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customFormat="false" ht="15.75" hidden="false" customHeight="true" outlineLevel="0" collapsed="false"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customFormat="false" ht="15.75" hidden="false" customHeight="true" outlineLevel="0" collapsed="false"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customFormat="false" ht="15.75" hidden="false" customHeight="true" outlineLevel="0" collapsed="false"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customFormat="false" ht="15.75" hidden="false" customHeight="true" outlineLevel="0" collapsed="false"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customFormat="false" ht="15.75" hidden="false" customHeight="true" outlineLevel="0" collapsed="false"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customFormat="false" ht="15.75" hidden="false" customHeight="true" outlineLevel="0" collapsed="false"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customFormat="false" ht="15.75" hidden="false" customHeight="true" outlineLevel="0" collapsed="false"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customFormat="false" ht="15.75" hidden="false" customHeight="true" outlineLevel="0" collapsed="false"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customFormat="false" ht="15.75" hidden="false" customHeight="true" outlineLevel="0" collapsed="false"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customFormat="false" ht="15.75" hidden="false" customHeight="true" outlineLevel="0" collapsed="false"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customFormat="false" ht="15.75" hidden="false" customHeight="true" outlineLevel="0" collapsed="false"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customFormat="false" ht="15.75" hidden="false" customHeight="true" outlineLevel="0" collapsed="false"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customFormat="false" ht="15.75" hidden="false" customHeight="true" outlineLevel="0" collapsed="false"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customFormat="false" ht="15.75" hidden="false" customHeight="true" outlineLevel="0" collapsed="false"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customFormat="false" ht="15.75" hidden="false" customHeight="true" outlineLevel="0" collapsed="false"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customFormat="false" ht="15.75" hidden="false" customHeight="true" outlineLevel="0" collapsed="false"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customFormat="false" ht="15.75" hidden="false" customHeight="true" outlineLevel="0" collapsed="false"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customFormat="false" ht="15.75" hidden="false" customHeight="true" outlineLevel="0" collapsed="false"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customFormat="false" ht="15.75" hidden="false" customHeight="true" outlineLevel="0" collapsed="false"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customFormat="false" ht="15.75" hidden="false" customHeight="true" outlineLevel="0" collapsed="false"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customFormat="false" ht="15.75" hidden="false" customHeight="true" outlineLevel="0" collapsed="false"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customFormat="false" ht="15.75" hidden="false" customHeight="true" outlineLevel="0" collapsed="false"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customFormat="false" ht="15.75" hidden="false" customHeight="true" outlineLevel="0" collapsed="false"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customFormat="false" ht="15.75" hidden="false" customHeight="true" outlineLevel="0" collapsed="false"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customFormat="false" ht="15.75" hidden="false" customHeight="true" outlineLevel="0" collapsed="false"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customFormat="false" ht="15.75" hidden="false" customHeight="true" outlineLevel="0" collapsed="false"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customFormat="false" ht="15.75" hidden="false" customHeight="true" outlineLevel="0" collapsed="false"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customFormat="false" ht="15.75" hidden="false" customHeight="true" outlineLevel="0" collapsed="false"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customFormat="false" ht="15.75" hidden="false" customHeight="true" outlineLevel="0" collapsed="false"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customFormat="false" ht="15.75" hidden="false" customHeight="true" outlineLevel="0" collapsed="false"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customFormat="false" ht="15.75" hidden="false" customHeight="true" outlineLevel="0" collapsed="false"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customFormat="false" ht="15.75" hidden="false" customHeight="true" outlineLevel="0" collapsed="false"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customFormat="false" ht="15.75" hidden="false" customHeight="true" outlineLevel="0" collapsed="false"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customFormat="false" ht="15.75" hidden="false" customHeight="true" outlineLevel="0" collapsed="false"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customFormat="false" ht="15.75" hidden="false" customHeight="true" outlineLevel="0" collapsed="false"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customFormat="false" ht="15.75" hidden="false" customHeight="true" outlineLevel="0" collapsed="false"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customFormat="false" ht="15.75" hidden="false" customHeight="true" outlineLevel="0" collapsed="false"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customFormat="false" ht="15.75" hidden="false" customHeight="true" outlineLevel="0" collapsed="false"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customFormat="false" ht="15.75" hidden="false" customHeight="true" outlineLevel="0" collapsed="false"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customFormat="false" ht="15.75" hidden="false" customHeight="true" outlineLevel="0" collapsed="false"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customFormat="false" ht="15.75" hidden="false" customHeight="true" outlineLevel="0" collapsed="false"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customFormat="false" ht="15.75" hidden="false" customHeight="true" outlineLevel="0" collapsed="false"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customFormat="false" ht="15.75" hidden="false" customHeight="true" outlineLevel="0" collapsed="false"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customFormat="false" ht="15.75" hidden="false" customHeight="true" outlineLevel="0" collapsed="false"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customFormat="false" ht="15.75" hidden="false" customHeight="true" outlineLevel="0" collapsed="false"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customFormat="false" ht="15.75" hidden="false" customHeight="true" outlineLevel="0" collapsed="false"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customFormat="false" ht="15.75" hidden="false" customHeight="true" outlineLevel="0" collapsed="false"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customFormat="false" ht="15.75" hidden="false" customHeight="true" outlineLevel="0" collapsed="false"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customFormat="false" ht="15.75" hidden="false" customHeight="true" outlineLevel="0" collapsed="false"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customFormat="false" ht="15.75" hidden="false" customHeight="true" outlineLevel="0" collapsed="false"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customFormat="false" ht="15.75" hidden="false" customHeight="true" outlineLevel="0" collapsed="false"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customFormat="false" ht="15.75" hidden="false" customHeight="true" outlineLevel="0" collapsed="false"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customFormat="false" ht="15.75" hidden="false" customHeight="true" outlineLevel="0" collapsed="false"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customFormat="false" ht="15.75" hidden="false" customHeight="true" outlineLevel="0" collapsed="false"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customFormat="false" ht="15.75" hidden="false" customHeight="true" outlineLevel="0" collapsed="false"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customFormat="false" ht="15.75" hidden="false" customHeight="true" outlineLevel="0" collapsed="false"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customFormat="false" ht="15.75" hidden="false" customHeight="true" outlineLevel="0" collapsed="false"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customFormat="false" ht="15.75" hidden="false" customHeight="true" outlineLevel="0" collapsed="false"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customFormat="false" ht="15.75" hidden="false" customHeight="true" outlineLevel="0" collapsed="false"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customFormat="false" ht="15.75" hidden="false" customHeight="true" outlineLevel="0" collapsed="false"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customFormat="false" ht="15.75" hidden="false" customHeight="true" outlineLevel="0" collapsed="false"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customFormat="false" ht="15.75" hidden="false" customHeight="true" outlineLevel="0" collapsed="false"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customFormat="false" ht="15.75" hidden="false" customHeight="true" outlineLevel="0" collapsed="false"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customFormat="false" ht="15.75" hidden="false" customHeight="true" outlineLevel="0" collapsed="false"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customFormat="false" ht="15.75" hidden="false" customHeight="true" outlineLevel="0" collapsed="false"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customFormat="false" ht="15.75" hidden="false" customHeight="true" outlineLevel="0" collapsed="false"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customFormat="false" ht="15.75" hidden="false" customHeight="true" outlineLevel="0" collapsed="false"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customFormat="false" ht="15.75" hidden="false" customHeight="true" outlineLevel="0" collapsed="false"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customFormat="false" ht="15.75" hidden="false" customHeight="true" outlineLevel="0" collapsed="false"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customFormat="false" ht="15.75" hidden="false" customHeight="true" outlineLevel="0" collapsed="false"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customFormat="false" ht="15.75" hidden="false" customHeight="true" outlineLevel="0" collapsed="false"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customFormat="false" ht="15.75" hidden="false" customHeight="true" outlineLevel="0" collapsed="false"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customFormat="false" ht="15.75" hidden="false" customHeight="true" outlineLevel="0" collapsed="false"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customFormat="false" ht="15.75" hidden="false" customHeight="true" outlineLevel="0" collapsed="false"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customFormat="false" ht="15.75" hidden="false" customHeight="true" outlineLevel="0" collapsed="false"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customFormat="false" ht="15.75" hidden="false" customHeight="true" outlineLevel="0" collapsed="false"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customFormat="false" ht="15.75" hidden="false" customHeight="true" outlineLevel="0" collapsed="false"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customFormat="false" ht="15.75" hidden="false" customHeight="true" outlineLevel="0" collapsed="false"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customFormat="false" ht="15.75" hidden="false" customHeight="true" outlineLevel="0" collapsed="false"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customFormat="false" ht="15.75" hidden="false" customHeight="true" outlineLevel="0" collapsed="false"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customFormat="false" ht="15.75" hidden="false" customHeight="true" outlineLevel="0" collapsed="false"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customFormat="false" ht="15.75" hidden="false" customHeight="true" outlineLevel="0" collapsed="false"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customFormat="false" ht="15.75" hidden="false" customHeight="true" outlineLevel="0" collapsed="false"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customFormat="false" ht="15.75" hidden="false" customHeight="true" outlineLevel="0" collapsed="false"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customFormat="false" ht="15.75" hidden="false" customHeight="true" outlineLevel="0" collapsed="false"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customFormat="false" ht="15.75" hidden="false" customHeight="true" outlineLevel="0" collapsed="false"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customFormat="false" ht="15.75" hidden="false" customHeight="true" outlineLevel="0" collapsed="false"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customFormat="false" ht="15.75" hidden="false" customHeight="true" outlineLevel="0" collapsed="false"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customFormat="false" ht="15.75" hidden="false" customHeight="true" outlineLevel="0" collapsed="false"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customFormat="false" ht="15.75" hidden="false" customHeight="true" outlineLevel="0" collapsed="false"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customFormat="false" ht="15.75" hidden="false" customHeight="true" outlineLevel="0" collapsed="false"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customFormat="false" ht="15.75" hidden="false" customHeight="true" outlineLevel="0" collapsed="false"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customFormat="false" ht="15.75" hidden="false" customHeight="true" outlineLevel="0" collapsed="false"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customFormat="false" ht="15.75" hidden="false" customHeight="true" outlineLevel="0" collapsed="false"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customFormat="false" ht="15.75" hidden="false" customHeight="true" outlineLevel="0" collapsed="false"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customFormat="false" ht="15.75" hidden="false" customHeight="true" outlineLevel="0" collapsed="false"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customFormat="false" ht="15.75" hidden="false" customHeight="true" outlineLevel="0" collapsed="false"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customFormat="false" ht="15.75" hidden="false" customHeight="true" outlineLevel="0" collapsed="false"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customFormat="false" ht="15.75" hidden="false" customHeight="true" outlineLevel="0" collapsed="false"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customFormat="false" ht="15.75" hidden="false" customHeight="true" outlineLevel="0" collapsed="false"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customFormat="false" ht="15.75" hidden="false" customHeight="true" outlineLevel="0" collapsed="false"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customFormat="false" ht="15.75" hidden="false" customHeight="true" outlineLevel="0" collapsed="false"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customFormat="false" ht="15.75" hidden="false" customHeight="true" outlineLevel="0" collapsed="false"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customFormat="false" ht="15.75" hidden="false" customHeight="true" outlineLevel="0" collapsed="false"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customFormat="false" ht="15.75" hidden="false" customHeight="true" outlineLevel="0" collapsed="false"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customFormat="false" ht="15.75" hidden="false" customHeight="true" outlineLevel="0" collapsed="false"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customFormat="false" ht="15.75" hidden="false" customHeight="true" outlineLevel="0" collapsed="false"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customFormat="false" ht="15.75" hidden="false" customHeight="true" outlineLevel="0" collapsed="false"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customFormat="false" ht="15.75" hidden="false" customHeight="true" outlineLevel="0" collapsed="false"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customFormat="false" ht="15.75" hidden="false" customHeight="true" outlineLevel="0" collapsed="false"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customFormat="false" ht="15.75" hidden="false" customHeight="true" outlineLevel="0" collapsed="false"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customFormat="false" ht="15.75" hidden="false" customHeight="true" outlineLevel="0" collapsed="false"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customFormat="false" ht="15.75" hidden="false" customHeight="true" outlineLevel="0" collapsed="false"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customFormat="false" ht="15.75" hidden="false" customHeight="true" outlineLevel="0" collapsed="false"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customFormat="false" ht="15.75" hidden="false" customHeight="true" outlineLevel="0" collapsed="false"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customFormat="false" ht="15.75" hidden="false" customHeight="true" outlineLevel="0" collapsed="false"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customFormat="false" ht="15.75" hidden="false" customHeight="true" outlineLevel="0" collapsed="false"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customFormat="false" ht="15.75" hidden="false" customHeight="true" outlineLevel="0" collapsed="false"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customFormat="false" ht="15.75" hidden="false" customHeight="true" outlineLevel="0" collapsed="false"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customFormat="false" ht="15.75" hidden="false" customHeight="true" outlineLevel="0" collapsed="false"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customFormat="false" ht="15.75" hidden="false" customHeight="true" outlineLevel="0" collapsed="false"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customFormat="false" ht="15.75" hidden="false" customHeight="true" outlineLevel="0" collapsed="false"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customFormat="false" ht="15.75" hidden="false" customHeight="true" outlineLevel="0" collapsed="false"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customFormat="false" ht="15.75" hidden="false" customHeight="true" outlineLevel="0" collapsed="false"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customFormat="false" ht="15.75" hidden="false" customHeight="true" outlineLevel="0" collapsed="false"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customFormat="false" ht="15.75" hidden="false" customHeight="true" outlineLevel="0" collapsed="false"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customFormat="false" ht="15.75" hidden="false" customHeight="true" outlineLevel="0" collapsed="false"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customFormat="false" ht="15.75" hidden="false" customHeight="true" outlineLevel="0" collapsed="false"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customFormat="false" ht="15.75" hidden="false" customHeight="true" outlineLevel="0" collapsed="false"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customFormat="false" ht="15.75" hidden="false" customHeight="true" outlineLevel="0" collapsed="false"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customFormat="false" ht="15.75" hidden="false" customHeight="true" outlineLevel="0" collapsed="false"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customFormat="false" ht="15.75" hidden="false" customHeight="true" outlineLevel="0" collapsed="false"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customFormat="false" ht="15.75" hidden="false" customHeight="true" outlineLevel="0" collapsed="false"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customFormat="false" ht="15.75" hidden="false" customHeight="true" outlineLevel="0" collapsed="false"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customFormat="false" ht="15.75" hidden="false" customHeight="true" outlineLevel="0" collapsed="false"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customFormat="false" ht="15.75" hidden="false" customHeight="true" outlineLevel="0" collapsed="false"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customFormat="false" ht="15.75" hidden="false" customHeight="true" outlineLevel="0" collapsed="false"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customFormat="false" ht="15.75" hidden="false" customHeight="true" outlineLevel="0" collapsed="false"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customFormat="false" ht="15.75" hidden="false" customHeight="true" outlineLevel="0" collapsed="false"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customFormat="false" ht="15.75" hidden="false" customHeight="true" outlineLevel="0" collapsed="false"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customFormat="false" ht="15.75" hidden="false" customHeight="true" outlineLevel="0" collapsed="false"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customFormat="false" ht="15.75" hidden="false" customHeight="true" outlineLevel="0" collapsed="false"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customFormat="false" ht="15.75" hidden="false" customHeight="true" outlineLevel="0" collapsed="false"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customFormat="false" ht="15.75" hidden="false" customHeight="true" outlineLevel="0" collapsed="false"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customFormat="false" ht="15.75" hidden="false" customHeight="true" outlineLevel="0" collapsed="false"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customFormat="false" ht="15.75" hidden="false" customHeight="true" outlineLevel="0" collapsed="false"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customFormat="false" ht="15.75" hidden="false" customHeight="true" outlineLevel="0" collapsed="false"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customFormat="false" ht="15.75" hidden="false" customHeight="true" outlineLevel="0" collapsed="false"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customFormat="false" ht="15.75" hidden="false" customHeight="true" outlineLevel="0" collapsed="false"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customFormat="false" ht="15.75" hidden="false" customHeight="true" outlineLevel="0" collapsed="false"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customFormat="false" ht="15.75" hidden="false" customHeight="true" outlineLevel="0" collapsed="false"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customFormat="false" ht="15.75" hidden="false" customHeight="true" outlineLevel="0" collapsed="false"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customFormat="false" ht="15.75" hidden="false" customHeight="true" outlineLevel="0" collapsed="false"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customFormat="false" ht="15.75" hidden="false" customHeight="true" outlineLevel="0" collapsed="false"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customFormat="false" ht="15.75" hidden="false" customHeight="true" outlineLevel="0" collapsed="false"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customFormat="false" ht="15.75" hidden="false" customHeight="true" outlineLevel="0" collapsed="false"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customFormat="false" ht="15.75" hidden="false" customHeight="true" outlineLevel="0" collapsed="false"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customFormat="false" ht="15.75" hidden="false" customHeight="true" outlineLevel="0" collapsed="false"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customFormat="false" ht="15.75" hidden="false" customHeight="true" outlineLevel="0" collapsed="false"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customFormat="false" ht="15.75" hidden="false" customHeight="true" outlineLevel="0" collapsed="false"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customFormat="false" ht="15.75" hidden="false" customHeight="true" outlineLevel="0" collapsed="false"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customFormat="false" ht="15.75" hidden="false" customHeight="true" outlineLevel="0" collapsed="false"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customFormat="false" ht="15.75" hidden="false" customHeight="true" outlineLevel="0" collapsed="false"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customFormat="false" ht="15.75" hidden="false" customHeight="true" outlineLevel="0" collapsed="false"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customFormat="false" ht="15.75" hidden="false" customHeight="true" outlineLevel="0" collapsed="false"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customFormat="false" ht="15.75" hidden="false" customHeight="true" outlineLevel="0" collapsed="false"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customFormat="false" ht="15.75" hidden="false" customHeight="true" outlineLevel="0" collapsed="false"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customFormat="false" ht="15.75" hidden="false" customHeight="true" outlineLevel="0" collapsed="false"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customFormat="false" ht="15.75" hidden="false" customHeight="true" outlineLevel="0" collapsed="false"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customFormat="false" ht="15.75" hidden="false" customHeight="true" outlineLevel="0" collapsed="false"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customFormat="false" ht="15.75" hidden="false" customHeight="true" outlineLevel="0" collapsed="false"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customFormat="false" ht="15.75" hidden="false" customHeight="true" outlineLevel="0" collapsed="false"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customFormat="false" ht="15.75" hidden="false" customHeight="true" outlineLevel="0" collapsed="false"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customFormat="false" ht="15.75" hidden="false" customHeight="true" outlineLevel="0" collapsed="false"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customFormat="false" ht="15.75" hidden="false" customHeight="true" outlineLevel="0" collapsed="false"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customFormat="false" ht="15.75" hidden="false" customHeight="true" outlineLevel="0" collapsed="false"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customFormat="false" ht="15.75" hidden="false" customHeight="true" outlineLevel="0" collapsed="false"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customFormat="false" ht="15.75" hidden="false" customHeight="true" outlineLevel="0" collapsed="false"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customFormat="false" ht="15.75" hidden="false" customHeight="true" outlineLevel="0" collapsed="false"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customFormat="false" ht="15.75" hidden="false" customHeight="true" outlineLevel="0" collapsed="false"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customFormat="false" ht="15.75" hidden="false" customHeight="true" outlineLevel="0" collapsed="false"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customFormat="false" ht="15.75" hidden="false" customHeight="true" outlineLevel="0" collapsed="false"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customFormat="false" ht="15.75" hidden="false" customHeight="true" outlineLevel="0" collapsed="false"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customFormat="false" ht="15.75" hidden="false" customHeight="true" outlineLevel="0" collapsed="false"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customFormat="false" ht="15.75" hidden="false" customHeight="true" outlineLevel="0" collapsed="false"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customFormat="false" ht="15.75" hidden="false" customHeight="true" outlineLevel="0" collapsed="false"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customFormat="false" ht="15.75" hidden="false" customHeight="true" outlineLevel="0" collapsed="false"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customFormat="false" ht="15.75" hidden="false" customHeight="true" outlineLevel="0" collapsed="false"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customFormat="false" ht="15.75" hidden="false" customHeight="true" outlineLevel="0" collapsed="false"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customFormat="false" ht="15.75" hidden="false" customHeight="true" outlineLevel="0" collapsed="false"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customFormat="false" ht="15.75" hidden="false" customHeight="true" outlineLevel="0" collapsed="false"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customFormat="false" ht="15.75" hidden="false" customHeight="true" outlineLevel="0" collapsed="false"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customFormat="false" ht="15.75" hidden="false" customHeight="true" outlineLevel="0" collapsed="false"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customFormat="false" ht="15.75" hidden="false" customHeight="true" outlineLevel="0" collapsed="false"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customFormat="false" ht="15.75" hidden="false" customHeight="true" outlineLevel="0" collapsed="false"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customFormat="false" ht="15.75" hidden="false" customHeight="true" outlineLevel="0" collapsed="false"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customFormat="false" ht="15.75" hidden="false" customHeight="true" outlineLevel="0" collapsed="false"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customFormat="false" ht="15.75" hidden="false" customHeight="true" outlineLevel="0" collapsed="false"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customFormat="false" ht="15.75" hidden="false" customHeight="true" outlineLevel="0" collapsed="false"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customFormat="false" ht="15.75" hidden="false" customHeight="true" outlineLevel="0" collapsed="false"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customFormat="false" ht="15.75" hidden="false" customHeight="true" outlineLevel="0" collapsed="false"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customFormat="false" ht="15.75" hidden="false" customHeight="true" outlineLevel="0" collapsed="false"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customFormat="false" ht="15.75" hidden="false" customHeight="true" outlineLevel="0" collapsed="false"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customFormat="false" ht="15.75" hidden="false" customHeight="true" outlineLevel="0" collapsed="false"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customFormat="false" ht="15.75" hidden="false" customHeight="true" outlineLevel="0" collapsed="false"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customFormat="false" ht="15.75" hidden="false" customHeight="true" outlineLevel="0" collapsed="false"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customFormat="false" ht="15.75" hidden="false" customHeight="true" outlineLevel="0" collapsed="false"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customFormat="false" ht="15.75" hidden="false" customHeight="true" outlineLevel="0" collapsed="false"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customFormat="false" ht="15.75" hidden="false" customHeight="true" outlineLevel="0" collapsed="false"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customFormat="false" ht="15.75" hidden="false" customHeight="true" outlineLevel="0" collapsed="false"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customFormat="false" ht="15.75" hidden="false" customHeight="true" outlineLevel="0" collapsed="false"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customFormat="false" ht="15.75" hidden="false" customHeight="true" outlineLevel="0" collapsed="false"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customFormat="false" ht="15.75" hidden="false" customHeight="true" outlineLevel="0" collapsed="false"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customFormat="false" ht="15.75" hidden="false" customHeight="true" outlineLevel="0" collapsed="false"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customFormat="false" ht="15.75" hidden="false" customHeight="true" outlineLevel="0" collapsed="false"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customFormat="false" ht="15.75" hidden="false" customHeight="true" outlineLevel="0" collapsed="false"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customFormat="false" ht="15.75" hidden="false" customHeight="true" outlineLevel="0" collapsed="false"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customFormat="false" ht="15.75" hidden="false" customHeight="true" outlineLevel="0" collapsed="false"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customFormat="false" ht="15.75" hidden="false" customHeight="true" outlineLevel="0" collapsed="false"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customFormat="false" ht="15.75" hidden="false" customHeight="true" outlineLevel="0" collapsed="false"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customFormat="false" ht="15.75" hidden="false" customHeight="true" outlineLevel="0" collapsed="false"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customFormat="false" ht="15.75" hidden="false" customHeight="true" outlineLevel="0" collapsed="false"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customFormat="false" ht="15.75" hidden="false" customHeight="true" outlineLevel="0" collapsed="false"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customFormat="false" ht="15.75" hidden="false" customHeight="true" outlineLevel="0" collapsed="false"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customFormat="false" ht="15.75" hidden="false" customHeight="true" outlineLevel="0" collapsed="false"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customFormat="false" ht="15.75" hidden="false" customHeight="true" outlineLevel="0" collapsed="false"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customFormat="false" ht="15.75" hidden="false" customHeight="true" outlineLevel="0" collapsed="false"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customFormat="false" ht="15.75" hidden="false" customHeight="true" outlineLevel="0" collapsed="false"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customFormat="false" ht="15.75" hidden="false" customHeight="true" outlineLevel="0" collapsed="false"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customFormat="false" ht="15.75" hidden="false" customHeight="true" outlineLevel="0" collapsed="false"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customFormat="false" ht="15.75" hidden="false" customHeight="true" outlineLevel="0" collapsed="false"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customFormat="false" ht="15.75" hidden="false" customHeight="true" outlineLevel="0" collapsed="false"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customFormat="false" ht="15.75" hidden="false" customHeight="true" outlineLevel="0" collapsed="false"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customFormat="false" ht="15.75" hidden="false" customHeight="true" outlineLevel="0" collapsed="false"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customFormat="false" ht="15.75" hidden="false" customHeight="true" outlineLevel="0" collapsed="false"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customFormat="false" ht="15.75" hidden="false" customHeight="true" outlineLevel="0" collapsed="false"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customFormat="false" ht="15.75" hidden="false" customHeight="true" outlineLevel="0" collapsed="false"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customFormat="false" ht="15.75" hidden="false" customHeight="true" outlineLevel="0" collapsed="false"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customFormat="false" ht="15.75" hidden="false" customHeight="true" outlineLevel="0" collapsed="false"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customFormat="false" ht="15.75" hidden="false" customHeight="true" outlineLevel="0" collapsed="false"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customFormat="false" ht="15.75" hidden="false" customHeight="true" outlineLevel="0" collapsed="false"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customFormat="false" ht="15.75" hidden="false" customHeight="true" outlineLevel="0" collapsed="false"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customFormat="false" ht="15.75" hidden="false" customHeight="true" outlineLevel="0" collapsed="false"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customFormat="false" ht="15.75" hidden="false" customHeight="true" outlineLevel="0" collapsed="false"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customFormat="false" ht="15.75" hidden="false" customHeight="true" outlineLevel="0" collapsed="false"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customFormat="false" ht="15.75" hidden="false" customHeight="true" outlineLevel="0" collapsed="false"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customFormat="false" ht="15.75" hidden="false" customHeight="true" outlineLevel="0" collapsed="false"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customFormat="false" ht="15.75" hidden="false" customHeight="true" outlineLevel="0" collapsed="false"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customFormat="false" ht="15.75" hidden="false" customHeight="true" outlineLevel="0" collapsed="false"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customFormat="false" ht="15.75" hidden="false" customHeight="true" outlineLevel="0" collapsed="false"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customFormat="false" ht="15.75" hidden="false" customHeight="true" outlineLevel="0" collapsed="false"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customFormat="false" ht="15.75" hidden="false" customHeight="true" outlineLevel="0" collapsed="false"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customFormat="false" ht="15.75" hidden="false" customHeight="true" outlineLevel="0" collapsed="false"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customFormat="false" ht="15.75" hidden="false" customHeight="true" outlineLevel="0" collapsed="false"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customFormat="false" ht="15.75" hidden="false" customHeight="true" outlineLevel="0" collapsed="false"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customFormat="false" ht="15.75" hidden="false" customHeight="true" outlineLevel="0" collapsed="false"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customFormat="false" ht="15.75" hidden="false" customHeight="true" outlineLevel="0" collapsed="false"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customFormat="false" ht="15.75" hidden="false" customHeight="true" outlineLevel="0" collapsed="false"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customFormat="false" ht="15.75" hidden="false" customHeight="true" outlineLevel="0" collapsed="false"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customFormat="false" ht="15.75" hidden="false" customHeight="true" outlineLevel="0" collapsed="false"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customFormat="false" ht="15.75" hidden="false" customHeight="true" outlineLevel="0" collapsed="false"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customFormat="false" ht="15.75" hidden="false" customHeight="true" outlineLevel="0" collapsed="false"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customFormat="false" ht="15.75" hidden="false" customHeight="true" outlineLevel="0" collapsed="false"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customFormat="false" ht="15.75" hidden="false" customHeight="true" outlineLevel="0" collapsed="false"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customFormat="false" ht="15.75" hidden="false" customHeight="true" outlineLevel="0" collapsed="false"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customFormat="false" ht="15.75" hidden="false" customHeight="true" outlineLevel="0" collapsed="false"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customFormat="false" ht="15.75" hidden="false" customHeight="true" outlineLevel="0" collapsed="false"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customFormat="false" ht="15.75" hidden="false" customHeight="true" outlineLevel="0" collapsed="false"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customFormat="false" ht="15.75" hidden="false" customHeight="true" outlineLevel="0" collapsed="false"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customFormat="false" ht="15.75" hidden="false" customHeight="true" outlineLevel="0" collapsed="false"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customFormat="false" ht="15.75" hidden="false" customHeight="true" outlineLevel="0" collapsed="false"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customFormat="false" ht="15.75" hidden="false" customHeight="true" outlineLevel="0" collapsed="false"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customFormat="false" ht="15.75" hidden="false" customHeight="true" outlineLevel="0" collapsed="false"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customFormat="false" ht="15.75" hidden="false" customHeight="true" outlineLevel="0" collapsed="false"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customFormat="false" ht="15.75" hidden="false" customHeight="true" outlineLevel="0" collapsed="false"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customFormat="false" ht="15.75" hidden="false" customHeight="true" outlineLevel="0" collapsed="false"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customFormat="false" ht="15.75" hidden="false" customHeight="true" outlineLevel="0" collapsed="false"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customFormat="false" ht="15.75" hidden="false" customHeight="true" outlineLevel="0" collapsed="false"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customFormat="false" ht="15.75" hidden="false" customHeight="true" outlineLevel="0" collapsed="false"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customFormat="false" ht="15.75" hidden="false" customHeight="true" outlineLevel="0" collapsed="false"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customFormat="false" ht="15.75" hidden="false" customHeight="true" outlineLevel="0" collapsed="false"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customFormat="false" ht="15.75" hidden="false" customHeight="true" outlineLevel="0" collapsed="false"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customFormat="false" ht="15.75" hidden="false" customHeight="true" outlineLevel="0" collapsed="false"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customFormat="false" ht="15.75" hidden="false" customHeight="true" outlineLevel="0" collapsed="false"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customFormat="false" ht="15.75" hidden="false" customHeight="true" outlineLevel="0" collapsed="false"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customFormat="false" ht="15.75" hidden="false" customHeight="true" outlineLevel="0" collapsed="false"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customFormat="false" ht="15.75" hidden="false" customHeight="true" outlineLevel="0" collapsed="false"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customFormat="false" ht="15.75" hidden="false" customHeight="true" outlineLevel="0" collapsed="false"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customFormat="false" ht="15.75" hidden="false" customHeight="true" outlineLevel="0" collapsed="false"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customFormat="false" ht="15.75" hidden="false" customHeight="true" outlineLevel="0" collapsed="false"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customFormat="false" ht="15.75" hidden="false" customHeight="true" outlineLevel="0" collapsed="false"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customFormat="false" ht="15.75" hidden="false" customHeight="true" outlineLevel="0" collapsed="false"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customFormat="false" ht="15.75" hidden="false" customHeight="true" outlineLevel="0" collapsed="false"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customFormat="false" ht="15.75" hidden="false" customHeight="true" outlineLevel="0" collapsed="false"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customFormat="false" ht="15.75" hidden="false" customHeight="true" outlineLevel="0" collapsed="false"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customFormat="false" ht="15.75" hidden="false" customHeight="true" outlineLevel="0" collapsed="false"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customFormat="false" ht="15.75" hidden="false" customHeight="true" outlineLevel="0" collapsed="false"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customFormat="false" ht="15.75" hidden="false" customHeight="true" outlineLevel="0" collapsed="false"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customFormat="false" ht="15.75" hidden="false" customHeight="true" outlineLevel="0" collapsed="false"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customFormat="false" ht="15.75" hidden="false" customHeight="true" outlineLevel="0" collapsed="false"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customFormat="false" ht="15.75" hidden="false" customHeight="true" outlineLevel="0" collapsed="false"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customFormat="false" ht="15.75" hidden="false" customHeight="true" outlineLevel="0" collapsed="false"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customFormat="false" ht="15.75" hidden="false" customHeight="true" outlineLevel="0" collapsed="false"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customFormat="false" ht="15.75" hidden="false" customHeight="true" outlineLevel="0" collapsed="false"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customFormat="false" ht="15.75" hidden="false" customHeight="true" outlineLevel="0" collapsed="false"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customFormat="false" ht="15.75" hidden="false" customHeight="true" outlineLevel="0" collapsed="false"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customFormat="false" ht="15.75" hidden="false" customHeight="true" outlineLevel="0" collapsed="false"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customFormat="false" ht="15.75" hidden="false" customHeight="true" outlineLevel="0" collapsed="false"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customFormat="false" ht="15.75" hidden="false" customHeight="true" outlineLevel="0" collapsed="false"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customFormat="false" ht="15.75" hidden="false" customHeight="true" outlineLevel="0" collapsed="false"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customFormat="false" ht="15.75" hidden="false" customHeight="true" outlineLevel="0" collapsed="false"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customFormat="false" ht="15.75" hidden="false" customHeight="true" outlineLevel="0" collapsed="false"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customFormat="false" ht="15.75" hidden="false" customHeight="true" outlineLevel="0" collapsed="false"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customFormat="false" ht="15.75" hidden="false" customHeight="true" outlineLevel="0" collapsed="false"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customFormat="false" ht="15.75" hidden="false" customHeight="true" outlineLevel="0" collapsed="false"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customFormat="false" ht="15.75" hidden="false" customHeight="true" outlineLevel="0" collapsed="false"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customFormat="false" ht="15.75" hidden="false" customHeight="true" outlineLevel="0" collapsed="false"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customFormat="false" ht="15.75" hidden="false" customHeight="true" outlineLevel="0" collapsed="false"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customFormat="false" ht="15.75" hidden="false" customHeight="true" outlineLevel="0" collapsed="false"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customFormat="false" ht="15.75" hidden="false" customHeight="true" outlineLevel="0" collapsed="false"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customFormat="false" ht="15.75" hidden="false" customHeight="true" outlineLevel="0" collapsed="false"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customFormat="false" ht="15.75" hidden="false" customHeight="true" outlineLevel="0" collapsed="false"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customFormat="false" ht="15.75" hidden="false" customHeight="true" outlineLevel="0" collapsed="false"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customFormat="false" ht="15.75" hidden="false" customHeight="true" outlineLevel="0" collapsed="false"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customFormat="false" ht="15.75" hidden="false" customHeight="true" outlineLevel="0" collapsed="false"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customFormat="false" ht="15.75" hidden="false" customHeight="true" outlineLevel="0" collapsed="false"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customFormat="false" ht="15.75" hidden="false" customHeight="true" outlineLevel="0" collapsed="false"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customFormat="false" ht="15.75" hidden="false" customHeight="true" outlineLevel="0" collapsed="false"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customFormat="false" ht="15.75" hidden="false" customHeight="true" outlineLevel="0" collapsed="false"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customFormat="false" ht="15.75" hidden="false" customHeight="true" outlineLevel="0" collapsed="false"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customFormat="false" ht="15.75" hidden="false" customHeight="true" outlineLevel="0" collapsed="false"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customFormat="false" ht="15.75" hidden="false" customHeight="true" outlineLevel="0" collapsed="false"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customFormat="false" ht="15.75" hidden="false" customHeight="true" outlineLevel="0" collapsed="false"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customFormat="false" ht="15.75" hidden="false" customHeight="true" outlineLevel="0" collapsed="false"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customFormat="false" ht="15.75" hidden="false" customHeight="true" outlineLevel="0" collapsed="false"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customFormat="false" ht="15.75" hidden="false" customHeight="true" outlineLevel="0" collapsed="false"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customFormat="false" ht="15.75" hidden="false" customHeight="true" outlineLevel="0" collapsed="false"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customFormat="false" ht="15.75" hidden="false" customHeight="true" outlineLevel="0" collapsed="false"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customFormat="false" ht="15.75" hidden="false" customHeight="true" outlineLevel="0" collapsed="false"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customFormat="false" ht="15.75" hidden="false" customHeight="true" outlineLevel="0" collapsed="false"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customFormat="false" ht="15.75" hidden="false" customHeight="true" outlineLevel="0" collapsed="false"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customFormat="false" ht="15.75" hidden="false" customHeight="true" outlineLevel="0" collapsed="false"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customFormat="false" ht="15.75" hidden="false" customHeight="true" outlineLevel="0" collapsed="false"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customFormat="false" ht="15.75" hidden="false" customHeight="true" outlineLevel="0" collapsed="false"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customFormat="false" ht="15.75" hidden="false" customHeight="true" outlineLevel="0" collapsed="false"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customFormat="false" ht="15.75" hidden="false" customHeight="true" outlineLevel="0" collapsed="false"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customFormat="false" ht="15.75" hidden="false" customHeight="true" outlineLevel="0" collapsed="false"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customFormat="false" ht="15.75" hidden="false" customHeight="true" outlineLevel="0" collapsed="false"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customFormat="false" ht="15.75" hidden="false" customHeight="true" outlineLevel="0" collapsed="false"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customFormat="false" ht="15.75" hidden="false" customHeight="true" outlineLevel="0" collapsed="false"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customFormat="false" ht="15.75" hidden="false" customHeight="true" outlineLevel="0" collapsed="false"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customFormat="false" ht="15.75" hidden="false" customHeight="true" outlineLevel="0" collapsed="false"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customFormat="false" ht="15.75" hidden="false" customHeight="true" outlineLevel="0" collapsed="false"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customFormat="false" ht="15.75" hidden="false" customHeight="true" outlineLevel="0" collapsed="false"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customFormat="false" ht="15.75" hidden="false" customHeight="true" outlineLevel="0" collapsed="false"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customFormat="false" ht="15.75" hidden="false" customHeight="true" outlineLevel="0" collapsed="false"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customFormat="false" ht="15.75" hidden="false" customHeight="true" outlineLevel="0" collapsed="false"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customFormat="false" ht="15.75" hidden="false" customHeight="true" outlineLevel="0" collapsed="false"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customFormat="false" ht="15.75" hidden="false" customHeight="true" outlineLevel="0" collapsed="false"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customFormat="false" ht="15.75" hidden="false" customHeight="true" outlineLevel="0" collapsed="false"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customFormat="false" ht="15.75" hidden="false" customHeight="true" outlineLevel="0" collapsed="false"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customFormat="false" ht="15.75" hidden="false" customHeight="true" outlineLevel="0" collapsed="false"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customFormat="false" ht="15.75" hidden="false" customHeight="true" outlineLevel="0" collapsed="false"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customFormat="false" ht="15.75" hidden="false" customHeight="true" outlineLevel="0" collapsed="false"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customFormat="false" ht="15.75" hidden="false" customHeight="true" outlineLevel="0" collapsed="false"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customFormat="false" ht="15.75" hidden="false" customHeight="true" outlineLevel="0" collapsed="false"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customFormat="false" ht="15.75" hidden="false" customHeight="true" outlineLevel="0" collapsed="false"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customFormat="false" ht="15.75" hidden="false" customHeight="true" outlineLevel="0" collapsed="false"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customFormat="false" ht="15.75" hidden="false" customHeight="true" outlineLevel="0" collapsed="false"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customFormat="false" ht="15.75" hidden="false" customHeight="true" outlineLevel="0" collapsed="false"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customFormat="false" ht="15.75" hidden="false" customHeight="true" outlineLevel="0" collapsed="false"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customFormat="false" ht="15.75" hidden="false" customHeight="true" outlineLevel="0" collapsed="false"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customFormat="false" ht="15.75" hidden="false" customHeight="true" outlineLevel="0" collapsed="false"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customFormat="false" ht="15.75" hidden="false" customHeight="true" outlineLevel="0" collapsed="false"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customFormat="false" ht="15.75" hidden="false" customHeight="true" outlineLevel="0" collapsed="false"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customFormat="false" ht="15.75" hidden="false" customHeight="true" outlineLevel="0" collapsed="false"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customFormat="false" ht="15.75" hidden="false" customHeight="true" outlineLevel="0" collapsed="false"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customFormat="false" ht="15.75" hidden="false" customHeight="true" outlineLevel="0" collapsed="false"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customFormat="false" ht="15.75" hidden="false" customHeight="true" outlineLevel="0" collapsed="false"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customFormat="false" ht="15.75" hidden="false" customHeight="true" outlineLevel="0" collapsed="false"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customFormat="false" ht="15.75" hidden="false" customHeight="true" outlineLevel="0" collapsed="false"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customFormat="false" ht="15.75" hidden="false" customHeight="true" outlineLevel="0" collapsed="false"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customFormat="false" ht="15.75" hidden="false" customHeight="true" outlineLevel="0" collapsed="false"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customFormat="false" ht="15.75" hidden="false" customHeight="true" outlineLevel="0" collapsed="false"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customFormat="false" ht="15.75" hidden="false" customHeight="true" outlineLevel="0" collapsed="false"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customFormat="false" ht="15.75" hidden="false" customHeight="true" outlineLevel="0" collapsed="false"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customFormat="false" ht="15.75" hidden="false" customHeight="true" outlineLevel="0" collapsed="false"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customFormat="false" ht="15.75" hidden="false" customHeight="true" outlineLevel="0" collapsed="false"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customFormat="false" ht="15.75" hidden="false" customHeight="true" outlineLevel="0" collapsed="false"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customFormat="false" ht="15.75" hidden="false" customHeight="true" outlineLevel="0" collapsed="false"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customFormat="false" ht="15.75" hidden="false" customHeight="true" outlineLevel="0" collapsed="false"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customFormat="false" ht="15.75" hidden="false" customHeight="true" outlineLevel="0" collapsed="false"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customFormat="false" ht="15.75" hidden="false" customHeight="true" outlineLevel="0" collapsed="false"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customFormat="false" ht="15.75" hidden="false" customHeight="true" outlineLevel="0" collapsed="false"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customFormat="false" ht="15.75" hidden="false" customHeight="true" outlineLevel="0" collapsed="false"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customFormat="false" ht="15.75" hidden="false" customHeight="true" outlineLevel="0" collapsed="false"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customFormat="false" ht="15.75" hidden="false" customHeight="true" outlineLevel="0" collapsed="false"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customFormat="false" ht="15.75" hidden="false" customHeight="true" outlineLevel="0" collapsed="false"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customFormat="false" ht="15.75" hidden="false" customHeight="true" outlineLevel="0" collapsed="false"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customFormat="false" ht="15.75" hidden="false" customHeight="true" outlineLevel="0" collapsed="false"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customFormat="false" ht="15.75" hidden="false" customHeight="true" outlineLevel="0" collapsed="false"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customFormat="false" ht="15.75" hidden="false" customHeight="true" outlineLevel="0" collapsed="false"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customFormat="false" ht="15.75" hidden="false" customHeight="true" outlineLevel="0" collapsed="false"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customFormat="false" ht="15.75" hidden="false" customHeight="true" outlineLevel="0" collapsed="false"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customFormat="false" ht="15.75" hidden="false" customHeight="true" outlineLevel="0" collapsed="false"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customFormat="false" ht="15.75" hidden="false" customHeight="true" outlineLevel="0" collapsed="false"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customFormat="false" ht="15.75" hidden="false" customHeight="true" outlineLevel="0" collapsed="false"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customFormat="false" ht="15.75" hidden="false" customHeight="true" outlineLevel="0" collapsed="false"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customFormat="false" ht="15.75" hidden="false" customHeight="true" outlineLevel="0" collapsed="false"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customFormat="false" ht="15.75" hidden="false" customHeight="true" outlineLevel="0" collapsed="false"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customFormat="false" ht="15.75" hidden="false" customHeight="true" outlineLevel="0" collapsed="false"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customFormat="false" ht="15.75" hidden="false" customHeight="true" outlineLevel="0" collapsed="false"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customFormat="false" ht="15.75" hidden="false" customHeight="true" outlineLevel="0" collapsed="false"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customFormat="false" ht="15.75" hidden="false" customHeight="true" outlineLevel="0" collapsed="false"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customFormat="false" ht="15.75" hidden="false" customHeight="true" outlineLevel="0" collapsed="false"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customFormat="false" ht="15.75" hidden="false" customHeight="true" outlineLevel="0" collapsed="false"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customFormat="false" ht="15.75" hidden="false" customHeight="true" outlineLevel="0" collapsed="false"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customFormat="false" ht="15.75" hidden="false" customHeight="true" outlineLevel="0" collapsed="false"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customFormat="false" ht="15.75" hidden="false" customHeight="true" outlineLevel="0" collapsed="false"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customFormat="false" ht="15.75" hidden="false" customHeight="true" outlineLevel="0" collapsed="false"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customFormat="false" ht="15.75" hidden="false" customHeight="true" outlineLevel="0" collapsed="false"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customFormat="false" ht="15.75" hidden="false" customHeight="true" outlineLevel="0" collapsed="false"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customFormat="false" ht="15.75" hidden="false" customHeight="true" outlineLevel="0" collapsed="false"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customFormat="false" ht="15.75" hidden="false" customHeight="true" outlineLevel="0" collapsed="false"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customFormat="false" ht="15.75" hidden="false" customHeight="true" outlineLevel="0" collapsed="false"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customFormat="false" ht="15.75" hidden="false" customHeight="true" outlineLevel="0" collapsed="false"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customFormat="false" ht="15.75" hidden="false" customHeight="true" outlineLevel="0" collapsed="false"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customFormat="false" ht="15.75" hidden="false" customHeight="true" outlineLevel="0" collapsed="false"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customFormat="false" ht="15.75" hidden="false" customHeight="true" outlineLevel="0" collapsed="false"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customFormat="false" ht="15.75" hidden="false" customHeight="true" outlineLevel="0" collapsed="false"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customFormat="false" ht="15.75" hidden="false" customHeight="true" outlineLevel="0" collapsed="false"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customFormat="false" ht="15.75" hidden="false" customHeight="true" outlineLevel="0" collapsed="false"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customFormat="false" ht="15.75" hidden="false" customHeight="true" outlineLevel="0" collapsed="false"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customFormat="false" ht="15.75" hidden="false" customHeight="true" outlineLevel="0" collapsed="false"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customFormat="false" ht="15.75" hidden="false" customHeight="true" outlineLevel="0" collapsed="false"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customFormat="false" ht="15.75" hidden="false" customHeight="true" outlineLevel="0" collapsed="false"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customFormat="false" ht="15.75" hidden="false" customHeight="true" outlineLevel="0" collapsed="false"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customFormat="false" ht="15.75" hidden="false" customHeight="true" outlineLevel="0" collapsed="false"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customFormat="false" ht="15.75" hidden="false" customHeight="true" outlineLevel="0" collapsed="false"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customFormat="false" ht="15.75" hidden="false" customHeight="true" outlineLevel="0" collapsed="false"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customFormat="false" ht="15.75" hidden="false" customHeight="true" outlineLevel="0" collapsed="false"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customFormat="false" ht="15.75" hidden="false" customHeight="true" outlineLevel="0" collapsed="false"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customFormat="false" ht="15.75" hidden="false" customHeight="true" outlineLevel="0" collapsed="false"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customFormat="false" ht="15.75" hidden="false" customHeight="true" outlineLevel="0" collapsed="false"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customFormat="false" ht="15.75" hidden="false" customHeight="true" outlineLevel="0" collapsed="false"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customFormat="false" ht="15.75" hidden="false" customHeight="true" outlineLevel="0" collapsed="false"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customFormat="false" ht="15.75" hidden="false" customHeight="true" outlineLevel="0" collapsed="false"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customFormat="false" ht="15.75" hidden="false" customHeight="true" outlineLevel="0" collapsed="false"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customFormat="false" ht="15.75" hidden="false" customHeight="true" outlineLevel="0" collapsed="false"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customFormat="false" ht="15.75" hidden="false" customHeight="true" outlineLevel="0" collapsed="false"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customFormat="false" ht="15.75" hidden="false" customHeight="true" outlineLevel="0" collapsed="false"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customFormat="false" ht="15.75" hidden="false" customHeight="true" outlineLevel="0" collapsed="false"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customFormat="false" ht="15.75" hidden="false" customHeight="true" outlineLevel="0" collapsed="false"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customFormat="false" ht="15.75" hidden="false" customHeight="true" outlineLevel="0" collapsed="false"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customFormat="false" ht="15.75" hidden="false" customHeight="true" outlineLevel="0" collapsed="false"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customFormat="false" ht="15.75" hidden="false" customHeight="true" outlineLevel="0" collapsed="false"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customFormat="false" ht="15.75" hidden="false" customHeight="true" outlineLevel="0" collapsed="false"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customFormat="false" ht="15.75" hidden="false" customHeight="true" outlineLevel="0" collapsed="false"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customFormat="false" ht="15.75" hidden="false" customHeight="true" outlineLevel="0" collapsed="false"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customFormat="false" ht="15.75" hidden="false" customHeight="true" outlineLevel="0" collapsed="false"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customFormat="false" ht="15.75" hidden="false" customHeight="true" outlineLevel="0" collapsed="false"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customFormat="false" ht="15.75" hidden="false" customHeight="true" outlineLevel="0" collapsed="false"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customFormat="false" ht="15.75" hidden="false" customHeight="true" outlineLevel="0" collapsed="false"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customFormat="false" ht="15.75" hidden="false" customHeight="true" outlineLevel="0" collapsed="false"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customFormat="false" ht="15.75" hidden="false" customHeight="true" outlineLevel="0" collapsed="false"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customFormat="false" ht="15.75" hidden="false" customHeight="true" outlineLevel="0" collapsed="false"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customFormat="false" ht="15.75" hidden="false" customHeight="true" outlineLevel="0" collapsed="false"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customFormat="false" ht="15.75" hidden="false" customHeight="true" outlineLevel="0" collapsed="false"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customFormat="false" ht="15.75" hidden="false" customHeight="true" outlineLevel="0" collapsed="false"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customFormat="false" ht="15.75" hidden="false" customHeight="true" outlineLevel="0" collapsed="false"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customFormat="false" ht="15.75" hidden="false" customHeight="true" outlineLevel="0" collapsed="false"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customFormat="false" ht="15.75" hidden="false" customHeight="true" outlineLevel="0" collapsed="false"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customFormat="false" ht="15.75" hidden="false" customHeight="true" outlineLevel="0" collapsed="false"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customFormat="false" ht="15.75" hidden="false" customHeight="true" outlineLevel="0" collapsed="false"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customFormat="false" ht="15.75" hidden="false" customHeight="true" outlineLevel="0" collapsed="false"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customFormat="false" ht="15.75" hidden="false" customHeight="true" outlineLevel="0" collapsed="false"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customFormat="false" ht="15.75" hidden="false" customHeight="true" outlineLevel="0" collapsed="false"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customFormat="false" ht="15.75" hidden="false" customHeight="true" outlineLevel="0" collapsed="false"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customFormat="false" ht="15.75" hidden="false" customHeight="true" outlineLevel="0" collapsed="false"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customFormat="false" ht="15.75" hidden="false" customHeight="true" outlineLevel="0" collapsed="false"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customFormat="false" ht="15.75" hidden="false" customHeight="true" outlineLevel="0" collapsed="false"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customFormat="false" ht="15.75" hidden="false" customHeight="true" outlineLevel="0" collapsed="false"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customFormat="false" ht="15.75" hidden="false" customHeight="true" outlineLevel="0" collapsed="false"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customFormat="false" ht="15.75" hidden="false" customHeight="true" outlineLevel="0" collapsed="false"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customFormat="false" ht="15.75" hidden="false" customHeight="true" outlineLevel="0" collapsed="false"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customFormat="false" ht="15.75" hidden="false" customHeight="true" outlineLevel="0" collapsed="false"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customFormat="false" ht="15.75" hidden="false" customHeight="true" outlineLevel="0" collapsed="false"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customFormat="false" ht="15.75" hidden="false" customHeight="true" outlineLevel="0" collapsed="false"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customFormat="false" ht="15.75" hidden="false" customHeight="true" outlineLevel="0" collapsed="false"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customFormat="false" ht="15.75" hidden="false" customHeight="true" outlineLevel="0" collapsed="false"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customFormat="false" ht="15.75" hidden="false" customHeight="true" outlineLevel="0" collapsed="false"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customFormat="false" ht="15.75" hidden="false" customHeight="true" outlineLevel="0" collapsed="false"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customFormat="false" ht="15.75" hidden="false" customHeight="true" outlineLevel="0" collapsed="false"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customFormat="false" ht="15.75" hidden="false" customHeight="true" outlineLevel="0" collapsed="false"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customFormat="false" ht="15.75" hidden="false" customHeight="true" outlineLevel="0" collapsed="false"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customFormat="false" ht="15.75" hidden="false" customHeight="true" outlineLevel="0" collapsed="false"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customFormat="false" ht="15.75" hidden="false" customHeight="true" outlineLevel="0" collapsed="false"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customFormat="false" ht="15.75" hidden="false" customHeight="true" outlineLevel="0" collapsed="false"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customFormat="false" ht="15.75" hidden="false" customHeight="true" outlineLevel="0" collapsed="false"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customFormat="false" ht="15.75" hidden="false" customHeight="true" outlineLevel="0" collapsed="false"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customFormat="false" ht="15.75" hidden="false" customHeight="true" outlineLevel="0" collapsed="false"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customFormat="false" ht="15.75" hidden="false" customHeight="true" outlineLevel="0" collapsed="false"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customFormat="false" ht="15.75" hidden="false" customHeight="true" outlineLevel="0" collapsed="false"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customFormat="false" ht="15.75" hidden="false" customHeight="true" outlineLevel="0" collapsed="false"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customFormat="false" ht="15.75" hidden="false" customHeight="true" outlineLevel="0" collapsed="false"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customFormat="false" ht="15.75" hidden="false" customHeight="true" outlineLevel="0" collapsed="false"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customFormat="false" ht="15.75" hidden="false" customHeight="true" outlineLevel="0" collapsed="false"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customFormat="false" ht="15.75" hidden="false" customHeight="true" outlineLevel="0" collapsed="false"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customFormat="false" ht="15.75" hidden="false" customHeight="true" outlineLevel="0" collapsed="false"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customFormat="false" ht="15.75" hidden="false" customHeight="true" outlineLevel="0" collapsed="false"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customFormat="false" ht="15.75" hidden="false" customHeight="true" outlineLevel="0" collapsed="false"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customFormat="false" ht="15.75" hidden="false" customHeight="true" outlineLevel="0" collapsed="false"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customFormat="false" ht="15.75" hidden="false" customHeight="true" outlineLevel="0" collapsed="false"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customFormat="false" ht="15.75" hidden="false" customHeight="true" outlineLevel="0" collapsed="false"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customFormat="false" ht="15.75" hidden="false" customHeight="true" outlineLevel="0" collapsed="false"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customFormat="false" ht="15.75" hidden="false" customHeight="true" outlineLevel="0" collapsed="false"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customFormat="false" ht="15.75" hidden="false" customHeight="true" outlineLevel="0" collapsed="false"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customFormat="false" ht="15.75" hidden="false" customHeight="true" outlineLevel="0" collapsed="false"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customFormat="false" ht="15.75" hidden="false" customHeight="true" outlineLevel="0" collapsed="false"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customFormat="false" ht="15.75" hidden="false" customHeight="true" outlineLevel="0" collapsed="false"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customFormat="false" ht="15.75" hidden="false" customHeight="true" outlineLevel="0" collapsed="false"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customFormat="false" ht="15.75" hidden="false" customHeight="true" outlineLevel="0" collapsed="false"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customFormat="false" ht="15.75" hidden="false" customHeight="true" outlineLevel="0" collapsed="false"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customFormat="false" ht="15.75" hidden="false" customHeight="true" outlineLevel="0" collapsed="false"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customFormat="false" ht="15.75" hidden="false" customHeight="true" outlineLevel="0" collapsed="false"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customFormat="false" ht="15.75" hidden="false" customHeight="true" outlineLevel="0" collapsed="false"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customFormat="false" ht="15.75" hidden="false" customHeight="true" outlineLevel="0" collapsed="false"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customFormat="false" ht="15.75" hidden="false" customHeight="true" outlineLevel="0" collapsed="false"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customFormat="false" ht="15.75" hidden="false" customHeight="true" outlineLevel="0" collapsed="false"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customFormat="false" ht="15.75" hidden="false" customHeight="true" outlineLevel="0" collapsed="false"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customFormat="false" ht="15.75" hidden="false" customHeight="true" outlineLevel="0" collapsed="false"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customFormat="false" ht="15.75" hidden="false" customHeight="true" outlineLevel="0" collapsed="false"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customFormat="false" ht="15.75" hidden="false" customHeight="true" outlineLevel="0" collapsed="false"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customFormat="false" ht="15.75" hidden="false" customHeight="true" outlineLevel="0" collapsed="false"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customFormat="false" ht="15.75" hidden="false" customHeight="true" outlineLevel="0" collapsed="false"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customFormat="false" ht="15.75" hidden="false" customHeight="true" outlineLevel="0" collapsed="false"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customFormat="false" ht="15.75" hidden="false" customHeight="true" outlineLevel="0" collapsed="false"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customFormat="false" ht="15.75" hidden="false" customHeight="true" outlineLevel="0" collapsed="false"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customFormat="false" ht="15.75" hidden="false" customHeight="true" outlineLevel="0" collapsed="false"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customFormat="false" ht="15.75" hidden="false" customHeight="true" outlineLevel="0" collapsed="false"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customFormat="false" ht="15.75" hidden="false" customHeight="true" outlineLevel="0" collapsed="false"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customFormat="false" ht="15.75" hidden="false" customHeight="true" outlineLevel="0" collapsed="false"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customFormat="false" ht="15.75" hidden="false" customHeight="true" outlineLevel="0" collapsed="false"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customFormat="false" ht="15.75" hidden="false" customHeight="true" outlineLevel="0" collapsed="false"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customFormat="false" ht="15.75" hidden="false" customHeight="true" outlineLevel="0" collapsed="false"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customFormat="false" ht="15.75" hidden="false" customHeight="true" outlineLevel="0" collapsed="false"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customFormat="false" ht="15.75" hidden="false" customHeight="true" outlineLevel="0" collapsed="false"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customFormat="false" ht="15.75" hidden="false" customHeight="true" outlineLevel="0" collapsed="false"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customFormat="false" ht="15.75" hidden="false" customHeight="true" outlineLevel="0" collapsed="false"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customFormat="false" ht="15.75" hidden="false" customHeight="true" outlineLevel="0" collapsed="false"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customFormat="false" ht="15.75" hidden="false" customHeight="true" outlineLevel="0" collapsed="false"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customFormat="false" ht="15.75" hidden="false" customHeight="true" outlineLevel="0" collapsed="false"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customFormat="false" ht="15.75" hidden="false" customHeight="true" outlineLevel="0" collapsed="false"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customFormat="false" ht="15.75" hidden="false" customHeight="true" outlineLevel="0" collapsed="false"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customFormat="false" ht="15.75" hidden="false" customHeight="true" outlineLevel="0" collapsed="false"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customFormat="false" ht="15.75" hidden="false" customHeight="true" outlineLevel="0" collapsed="false"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customFormat="false" ht="15.75" hidden="false" customHeight="true" outlineLevel="0" collapsed="false"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customFormat="false" ht="15.75" hidden="false" customHeight="true" outlineLevel="0" collapsed="false"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customFormat="false" ht="15.75" hidden="false" customHeight="true" outlineLevel="0" collapsed="false"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customFormat="false" ht="15.75" hidden="false" customHeight="true" outlineLevel="0" collapsed="false"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customFormat="false" ht="15.75" hidden="false" customHeight="true" outlineLevel="0" collapsed="false"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customFormat="false" ht="15.75" hidden="false" customHeight="true" outlineLevel="0" collapsed="false"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customFormat="false" ht="15.75" hidden="false" customHeight="true" outlineLevel="0" collapsed="false"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customFormat="false" ht="15.75" hidden="false" customHeight="true" outlineLevel="0" collapsed="false"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customFormat="false" ht="15.75" hidden="false" customHeight="true" outlineLevel="0" collapsed="false"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customFormat="false" ht="15.75" hidden="false" customHeight="true" outlineLevel="0" collapsed="false"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customFormat="false" ht="15.75" hidden="false" customHeight="true" outlineLevel="0" collapsed="false"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customFormat="false" ht="15.75" hidden="false" customHeight="true" outlineLevel="0" collapsed="false"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customFormat="false" ht="15.75" hidden="false" customHeight="true" outlineLevel="0" collapsed="false"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customFormat="false" ht="15.75" hidden="false" customHeight="true" outlineLevel="0" collapsed="false"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customFormat="false" ht="15.75" hidden="false" customHeight="true" outlineLevel="0" collapsed="false"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customFormat="false" ht="15.75" hidden="false" customHeight="true" outlineLevel="0" collapsed="false"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customFormat="false" ht="15.75" hidden="false" customHeight="true" outlineLevel="0" collapsed="false"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customFormat="false" ht="15.75" hidden="false" customHeight="true" outlineLevel="0" collapsed="false"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customFormat="false" ht="15.75" hidden="false" customHeight="true" outlineLevel="0" collapsed="false"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customFormat="false" ht="15.75" hidden="false" customHeight="true" outlineLevel="0" collapsed="false"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customFormat="false" ht="15.75" hidden="false" customHeight="true" outlineLevel="0" collapsed="false"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customFormat="false" ht="15.75" hidden="false" customHeight="true" outlineLevel="0" collapsed="false"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customFormat="false" ht="15.75" hidden="false" customHeight="true" outlineLevel="0" collapsed="false"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customFormat="false" ht="15.75" hidden="false" customHeight="true" outlineLevel="0" collapsed="false"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customFormat="false" ht="15.75" hidden="false" customHeight="true" outlineLevel="0" collapsed="false"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customFormat="false" ht="15.75" hidden="false" customHeight="true" outlineLevel="0" collapsed="false"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customFormat="false" ht="15.75" hidden="false" customHeight="true" outlineLevel="0" collapsed="false"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customFormat="false" ht="15.75" hidden="false" customHeight="true" outlineLevel="0" collapsed="false"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customFormat="false" ht="15.75" hidden="false" customHeight="true" outlineLevel="0" collapsed="false"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customFormat="false" ht="15.75" hidden="false" customHeight="true" outlineLevel="0" collapsed="false"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customFormat="false" ht="15.75" hidden="false" customHeight="true" outlineLevel="0" collapsed="false"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customFormat="false" ht="15.75" hidden="false" customHeight="true" outlineLevel="0" collapsed="false"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customFormat="false" ht="15.75" hidden="false" customHeight="true" outlineLevel="0" collapsed="false"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customFormat="false" ht="15.75" hidden="false" customHeight="true" outlineLevel="0" collapsed="false"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customFormat="false" ht="15.75" hidden="false" customHeight="true" outlineLevel="0" collapsed="false"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customFormat="false" ht="15.75" hidden="false" customHeight="true" outlineLevel="0" collapsed="false"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customFormat="false" ht="15.75" hidden="false" customHeight="true" outlineLevel="0" collapsed="false"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customFormat="false" ht="15.75" hidden="false" customHeight="true" outlineLevel="0" collapsed="false"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customFormat="false" ht="15.75" hidden="false" customHeight="true" outlineLevel="0" collapsed="false"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customFormat="false" ht="15.75" hidden="false" customHeight="true" outlineLevel="0" collapsed="false"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customFormat="false" ht="15.75" hidden="false" customHeight="true" outlineLevel="0" collapsed="false"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customFormat="false" ht="15.75" hidden="false" customHeight="true" outlineLevel="0" collapsed="false"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customFormat="false" ht="15.75" hidden="false" customHeight="true" outlineLevel="0" collapsed="false"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customFormat="false" ht="15.75" hidden="false" customHeight="true" outlineLevel="0" collapsed="false"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customFormat="false" ht="15.75" hidden="false" customHeight="true" outlineLevel="0" collapsed="false"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customFormat="false" ht="15.75" hidden="false" customHeight="true" outlineLevel="0" collapsed="false"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customFormat="false" ht="15.75" hidden="false" customHeight="true" outlineLevel="0" collapsed="false"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customFormat="false" ht="15.75" hidden="false" customHeight="true" outlineLevel="0" collapsed="false"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customFormat="false" ht="15.75" hidden="false" customHeight="true" outlineLevel="0" collapsed="false"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customFormat="false" ht="15.75" hidden="false" customHeight="true" outlineLevel="0" collapsed="false"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customFormat="false" ht="15.75" hidden="false" customHeight="true" outlineLevel="0" collapsed="false"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customFormat="false" ht="15.75" hidden="false" customHeight="true" outlineLevel="0" collapsed="false"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customFormat="false" ht="15.75" hidden="false" customHeight="true" outlineLevel="0" collapsed="false"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customFormat="false" ht="15.75" hidden="false" customHeight="true" outlineLevel="0" collapsed="false"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customFormat="false" ht="15.75" hidden="false" customHeight="true" outlineLevel="0" collapsed="false"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customFormat="false" ht="15.75" hidden="false" customHeight="true" outlineLevel="0" collapsed="false"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customFormat="false" ht="15.75" hidden="false" customHeight="true" outlineLevel="0" collapsed="false"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customFormat="false" ht="15.75" hidden="false" customHeight="true" outlineLevel="0" collapsed="false"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customFormat="false" ht="15.75" hidden="false" customHeight="true" outlineLevel="0" collapsed="false"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customFormat="false" ht="15.75" hidden="false" customHeight="true" outlineLevel="0" collapsed="false"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customFormat="false" ht="15.75" hidden="false" customHeight="true" outlineLevel="0" collapsed="false"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customFormat="false" ht="15.75" hidden="false" customHeight="true" outlineLevel="0" collapsed="false"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customFormat="false" ht="15.75" hidden="false" customHeight="true" outlineLevel="0" collapsed="false"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customFormat="false" ht="15.75" hidden="false" customHeight="true" outlineLevel="0" collapsed="false"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customFormat="false" ht="15.75" hidden="false" customHeight="true" outlineLevel="0" collapsed="false"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customFormat="false" ht="15.75" hidden="false" customHeight="true" outlineLevel="0" collapsed="false"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customFormat="false" ht="15.75" hidden="false" customHeight="true" outlineLevel="0" collapsed="false"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customFormat="false" ht="15.75" hidden="false" customHeight="true" outlineLevel="0" collapsed="false"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customFormat="false" ht="15.75" hidden="false" customHeight="true" outlineLevel="0" collapsed="false"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customFormat="false" ht="15.75" hidden="false" customHeight="true" outlineLevel="0" collapsed="false"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customFormat="false" ht="15.75" hidden="false" customHeight="true" outlineLevel="0" collapsed="false"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customFormat="false" ht="15.75" hidden="false" customHeight="true" outlineLevel="0" collapsed="false"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customFormat="false" ht="15.75" hidden="false" customHeight="true" outlineLevel="0" collapsed="false"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customFormat="false" ht="15.75" hidden="false" customHeight="true" outlineLevel="0" collapsed="false"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customFormat="false" ht="15.75" hidden="false" customHeight="true" outlineLevel="0" collapsed="false"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customFormat="false" ht="15.75" hidden="false" customHeight="true" outlineLevel="0" collapsed="false"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customFormat="false" ht="15.75" hidden="false" customHeight="true" outlineLevel="0" collapsed="false"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customFormat="false" ht="15.75" hidden="false" customHeight="true" outlineLevel="0" collapsed="false"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customFormat="false" ht="15.75" hidden="false" customHeight="true" outlineLevel="0" collapsed="false"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customFormat="false" ht="15.75" hidden="false" customHeight="true" outlineLevel="0" collapsed="false"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customFormat="false" ht="15.75" hidden="false" customHeight="true" outlineLevel="0" collapsed="false"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customFormat="false" ht="15.75" hidden="false" customHeight="true" outlineLevel="0" collapsed="false"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customFormat="false" ht="15.75" hidden="false" customHeight="true" outlineLevel="0" collapsed="false"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customFormat="false" ht="15.75" hidden="false" customHeight="true" outlineLevel="0" collapsed="false"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customFormat="false" ht="15.75" hidden="false" customHeight="true" outlineLevel="0" collapsed="false"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customFormat="false" ht="15.75" hidden="false" customHeight="true" outlineLevel="0" collapsed="false"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customFormat="false" ht="15.75" hidden="false" customHeight="true" outlineLevel="0" collapsed="false"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customFormat="false" ht="15.75" hidden="false" customHeight="true" outlineLevel="0" collapsed="false"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customFormat="false" ht="15.75" hidden="false" customHeight="true" outlineLevel="0" collapsed="false"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customFormat="false" ht="15.75" hidden="false" customHeight="true" outlineLevel="0" collapsed="false"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customFormat="false" ht="15.75" hidden="false" customHeight="true" outlineLevel="0" collapsed="false"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customFormat="false" ht="15.75" hidden="false" customHeight="true" outlineLevel="0" collapsed="false"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customFormat="false" ht="15.75" hidden="false" customHeight="true" outlineLevel="0" collapsed="false"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customFormat="false" ht="15.75" hidden="false" customHeight="true" outlineLevel="0" collapsed="false"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customFormat="false" ht="15.75" hidden="false" customHeight="true" outlineLevel="0" collapsed="false"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customFormat="false" ht="15.75" hidden="false" customHeight="true" outlineLevel="0" collapsed="false"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customFormat="false" ht="15.75" hidden="false" customHeight="true" outlineLevel="0" collapsed="false"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B6" activeCellId="0" sqref="B6"/>
    </sheetView>
  </sheetViews>
  <sheetFormatPr defaultColWidth="14.433593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22"/>
    <col collapsed="false" customWidth="true" hidden="false" outlineLevel="0" max="3" min="3" style="1" width="18"/>
    <col collapsed="false" customWidth="true" hidden="false" outlineLevel="0" max="4" min="4" style="1" width="28"/>
    <col collapsed="false" customWidth="true" hidden="false" outlineLevel="0" max="5" min="5" style="1" width="44"/>
    <col collapsed="false" customWidth="true" hidden="false" outlineLevel="0" max="6" min="6" style="1" width="14"/>
    <col collapsed="false" customWidth="true" hidden="false" outlineLevel="0" max="7" min="7" style="1" width="26"/>
    <col collapsed="false" customWidth="true" hidden="false" outlineLevel="0" max="8" min="8" style="1" width="18"/>
    <col collapsed="false" customWidth="true" hidden="false" outlineLevel="0" max="9" min="9" style="1" width="50"/>
  </cols>
  <sheetData>
    <row r="1" customFormat="false" ht="17.25" hidden="false" customHeight="true" outlineLevel="0" collapsed="false">
      <c r="A1" s="2" t="s">
        <v>90</v>
      </c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customFormat="false" ht="15" hidden="false" customHeight="true" outlineLevel="0" collapsed="false">
      <c r="A2" s="19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customFormat="false" ht="15" hidden="false" customHeight="true" outlineLevel="0" collapsed="false"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customFormat="false" ht="15" hidden="false" customHeight="true" outlineLevel="0" collapsed="false">
      <c r="A4" s="20" t="s">
        <v>27</v>
      </c>
      <c r="B4" s="20" t="s">
        <v>91</v>
      </c>
      <c r="C4" s="20" t="s">
        <v>28</v>
      </c>
      <c r="D4" s="20" t="s">
        <v>92</v>
      </c>
      <c r="E4" s="20" t="s">
        <v>93</v>
      </c>
      <c r="F4" s="20" t="s">
        <v>2</v>
      </c>
      <c r="G4" s="20" t="s">
        <v>94</v>
      </c>
      <c r="H4" s="20" t="s">
        <v>95</v>
      </c>
      <c r="I4" s="20" t="s">
        <v>33</v>
      </c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customFormat="false" ht="15" hidden="false" customHeight="true" outlineLevel="0" collapsed="false">
      <c r="A5" s="21" t="n">
        <v>1</v>
      </c>
      <c r="B5" s="21" t="s">
        <v>7</v>
      </c>
      <c r="C5" s="21" t="s">
        <v>39</v>
      </c>
      <c r="D5" s="21" t="s">
        <v>96</v>
      </c>
      <c r="E5" s="22" t="s">
        <v>97</v>
      </c>
      <c r="F5" s="23" t="n">
        <v>43200</v>
      </c>
      <c r="G5" s="21"/>
      <c r="H5" s="21" t="s">
        <v>98</v>
      </c>
      <c r="I5" s="22" t="s">
        <v>99</v>
      </c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customFormat="false" ht="26.25" hidden="false" customHeight="true" outlineLevel="0" collapsed="false">
      <c r="A6" s="21" t="n">
        <v>2</v>
      </c>
      <c r="B6" s="21" t="s">
        <v>8</v>
      </c>
      <c r="C6" s="21" t="s">
        <v>100</v>
      </c>
      <c r="D6" s="21" t="s">
        <v>101</v>
      </c>
      <c r="E6" s="22" t="s">
        <v>102</v>
      </c>
      <c r="F6" s="23" t="n">
        <v>13830.26</v>
      </c>
      <c r="G6" s="21" t="s">
        <v>103</v>
      </c>
      <c r="H6" s="21" t="s">
        <v>104</v>
      </c>
      <c r="I6" s="22" t="s">
        <v>105</v>
      </c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customFormat="false" ht="15" hidden="false" customHeight="true" outlineLevel="0" collapsed="false">
      <c r="A7" s="21" t="n">
        <v>3</v>
      </c>
      <c r="B7" s="21" t="s">
        <v>8</v>
      </c>
      <c r="C7" s="21" t="s">
        <v>100</v>
      </c>
      <c r="D7" s="21" t="s">
        <v>106</v>
      </c>
      <c r="E7" s="22" t="s">
        <v>107</v>
      </c>
      <c r="F7" s="23" t="n">
        <v>6915.13</v>
      </c>
      <c r="G7" s="21" t="s">
        <v>103</v>
      </c>
      <c r="H7" s="21" t="s">
        <v>104</v>
      </c>
      <c r="I7" s="22" t="s">
        <v>108</v>
      </c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customFormat="false" ht="15" hidden="false" customHeight="true" outlineLevel="0" collapsed="false">
      <c r="A8" s="24" t="n">
        <v>4</v>
      </c>
      <c r="B8" s="24" t="s">
        <v>9</v>
      </c>
      <c r="C8" s="24" t="s">
        <v>109</v>
      </c>
      <c r="D8" s="24" t="s">
        <v>110</v>
      </c>
      <c r="E8" s="25" t="s">
        <v>111</v>
      </c>
      <c r="F8" s="26" t="n">
        <v>1749.5</v>
      </c>
      <c r="G8" s="24" t="s">
        <v>112</v>
      </c>
      <c r="H8" s="24" t="s">
        <v>87</v>
      </c>
      <c r="I8" s="25" t="s">
        <v>113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customFormat="false" ht="15" hidden="false" customHeight="true" outlineLevel="0" collapsed="false">
      <c r="A9" s="24" t="n">
        <v>5</v>
      </c>
      <c r="B9" s="24" t="s">
        <v>9</v>
      </c>
      <c r="C9" s="24" t="s">
        <v>114</v>
      </c>
      <c r="D9" s="24" t="s">
        <v>9</v>
      </c>
      <c r="E9" s="25" t="s">
        <v>115</v>
      </c>
      <c r="F9" s="26" t="n">
        <v>4200</v>
      </c>
      <c r="G9" s="24" t="s">
        <v>116</v>
      </c>
      <c r="H9" s="24" t="s">
        <v>87</v>
      </c>
      <c r="I9" s="25" t="s">
        <v>117</v>
      </c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customFormat="false" ht="15" hidden="false" customHeight="true" outlineLevel="0" collapsed="false">
      <c r="A10" s="21" t="n">
        <v>6</v>
      </c>
      <c r="B10" s="21" t="s">
        <v>9</v>
      </c>
      <c r="C10" s="21" t="s">
        <v>66</v>
      </c>
      <c r="D10" s="21" t="s">
        <v>118</v>
      </c>
      <c r="E10" s="22" t="s">
        <v>119</v>
      </c>
      <c r="F10" s="23" t="n">
        <v>5600</v>
      </c>
      <c r="G10" s="21" t="s">
        <v>120</v>
      </c>
      <c r="H10" s="21" t="s">
        <v>87</v>
      </c>
      <c r="I10" s="22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customFormat="false" ht="15" hidden="false" customHeight="true" outlineLevel="0" collapsed="false">
      <c r="A11" s="24" t="n">
        <v>7</v>
      </c>
      <c r="B11" s="24" t="s">
        <v>9</v>
      </c>
      <c r="C11" s="24" t="s">
        <v>121</v>
      </c>
      <c r="D11" s="24" t="s">
        <v>9</v>
      </c>
      <c r="E11" s="25" t="s">
        <v>122</v>
      </c>
      <c r="F11" s="26" t="n">
        <v>2100</v>
      </c>
      <c r="G11" s="24" t="s">
        <v>123</v>
      </c>
      <c r="H11" s="24" t="s">
        <v>87</v>
      </c>
      <c r="I11" s="25" t="s">
        <v>124</v>
      </c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customFormat="false" ht="15" hidden="false" customHeight="true" outlineLevel="0" collapsed="false">
      <c r="A12" s="21" t="n">
        <v>8</v>
      </c>
      <c r="B12" s="21" t="s">
        <v>9</v>
      </c>
      <c r="C12" s="21" t="s">
        <v>79</v>
      </c>
      <c r="D12" s="21" t="s">
        <v>9</v>
      </c>
      <c r="E12" s="22" t="s">
        <v>125</v>
      </c>
      <c r="F12" s="23" t="n">
        <v>1400</v>
      </c>
      <c r="G12" s="21" t="s">
        <v>126</v>
      </c>
      <c r="H12" s="21" t="s">
        <v>127</v>
      </c>
      <c r="I12" s="22" t="s">
        <v>128</v>
      </c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customFormat="false" ht="26.25" hidden="false" customHeight="true" outlineLevel="0" collapsed="false">
      <c r="A13" s="21" t="n">
        <v>9</v>
      </c>
      <c r="B13" s="21" t="s">
        <v>9</v>
      </c>
      <c r="C13" s="21" t="s">
        <v>79</v>
      </c>
      <c r="D13" s="21" t="s">
        <v>129</v>
      </c>
      <c r="E13" s="22" t="s">
        <v>130</v>
      </c>
      <c r="F13" s="23"/>
      <c r="G13" s="21"/>
      <c r="H13" s="21" t="s">
        <v>131</v>
      </c>
      <c r="I13" s="22" t="s">
        <v>132</v>
      </c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customFormat="false" ht="15" hidden="false" customHeight="true" outlineLevel="0" collapsed="false">
      <c r="A14" s="21" t="n">
        <v>10</v>
      </c>
      <c r="B14" s="21" t="s">
        <v>10</v>
      </c>
      <c r="C14" s="21" t="s">
        <v>133</v>
      </c>
      <c r="D14" s="21" t="s">
        <v>134</v>
      </c>
      <c r="E14" s="22" t="s">
        <v>135</v>
      </c>
      <c r="F14" s="23" t="n">
        <v>5600</v>
      </c>
      <c r="G14" s="21" t="s">
        <v>136</v>
      </c>
      <c r="H14" s="21" t="s">
        <v>87</v>
      </c>
      <c r="I14" s="22" t="s">
        <v>137</v>
      </c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customFormat="false" ht="26.25" hidden="false" customHeight="true" outlineLevel="0" collapsed="false">
      <c r="A15" s="21" t="n">
        <v>11</v>
      </c>
      <c r="B15" s="21" t="s">
        <v>10</v>
      </c>
      <c r="C15" s="21" t="s">
        <v>77</v>
      </c>
      <c r="D15" s="21" t="s">
        <v>138</v>
      </c>
      <c r="E15" s="22" t="s">
        <v>139</v>
      </c>
      <c r="F15" s="23" t="n">
        <v>24350</v>
      </c>
      <c r="G15" s="21" t="s">
        <v>140</v>
      </c>
      <c r="H15" s="21" t="s">
        <v>87</v>
      </c>
      <c r="I15" s="22" t="s">
        <v>141</v>
      </c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customFormat="false" ht="15" hidden="false" customHeight="true" outlineLevel="0" collapsed="false">
      <c r="A16" s="24" t="n">
        <v>12</v>
      </c>
      <c r="B16" s="24" t="s">
        <v>11</v>
      </c>
      <c r="C16" s="24" t="s">
        <v>34</v>
      </c>
      <c r="D16" s="24" t="s">
        <v>142</v>
      </c>
      <c r="E16" s="25" t="s">
        <v>143</v>
      </c>
      <c r="F16" s="26" t="n">
        <v>350</v>
      </c>
      <c r="G16" s="24"/>
      <c r="H16" s="24" t="s">
        <v>87</v>
      </c>
      <c r="I16" s="25" t="s">
        <v>144</v>
      </c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customFormat="false" ht="15" hidden="false" customHeight="true" outlineLevel="0" collapsed="false">
      <c r="A17" s="24" t="n">
        <v>13</v>
      </c>
      <c r="B17" s="24" t="s">
        <v>11</v>
      </c>
      <c r="C17" s="24" t="s">
        <v>145</v>
      </c>
      <c r="D17" s="24" t="s">
        <v>146</v>
      </c>
      <c r="E17" s="25" t="s">
        <v>147</v>
      </c>
      <c r="F17" s="26" t="n">
        <v>1499.27</v>
      </c>
      <c r="G17" s="24" t="s">
        <v>148</v>
      </c>
      <c r="H17" s="24" t="s">
        <v>87</v>
      </c>
      <c r="I17" s="25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customFormat="false" ht="15" hidden="false" customHeight="true" outlineLevel="0" collapsed="false">
      <c r="A18" s="24" t="n">
        <v>15</v>
      </c>
      <c r="B18" s="24" t="s">
        <v>11</v>
      </c>
      <c r="C18" s="24" t="s">
        <v>79</v>
      </c>
      <c r="D18" s="24" t="s">
        <v>149</v>
      </c>
      <c r="E18" s="25" t="s">
        <v>150</v>
      </c>
      <c r="F18" s="26" t="n">
        <v>1669.5</v>
      </c>
      <c r="G18" s="24" t="s">
        <v>151</v>
      </c>
      <c r="H18" s="24" t="s">
        <v>87</v>
      </c>
      <c r="I18" s="25" t="s">
        <v>152</v>
      </c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customFormat="false" ht="15" hidden="false" customHeight="true" outlineLevel="0" collapsed="false">
      <c r="A19" s="21" t="n">
        <v>16</v>
      </c>
      <c r="B19" s="21" t="s">
        <v>12</v>
      </c>
      <c r="C19" s="21" t="s">
        <v>153</v>
      </c>
      <c r="D19" s="21" t="s">
        <v>154</v>
      </c>
      <c r="E19" s="22" t="s">
        <v>155</v>
      </c>
      <c r="F19" s="23" t="n">
        <v>9098.24</v>
      </c>
      <c r="G19" s="21" t="s">
        <v>156</v>
      </c>
      <c r="H19" s="21" t="s">
        <v>87</v>
      </c>
      <c r="I19" s="22" t="s">
        <v>157</v>
      </c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customFormat="false" ht="26.25" hidden="false" customHeight="true" outlineLevel="0" collapsed="false">
      <c r="A20" s="21" t="n">
        <v>17</v>
      </c>
      <c r="B20" s="21" t="s">
        <v>13</v>
      </c>
      <c r="C20" s="21" t="s">
        <v>158</v>
      </c>
      <c r="D20" s="21" t="s">
        <v>159</v>
      </c>
      <c r="E20" s="22" t="s">
        <v>160</v>
      </c>
      <c r="F20" s="23" t="n">
        <v>2304.64</v>
      </c>
      <c r="G20" s="21" t="s">
        <v>156</v>
      </c>
      <c r="H20" s="21" t="s">
        <v>87</v>
      </c>
      <c r="I20" s="22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customFormat="false" ht="15" hidden="false" customHeight="true" outlineLevel="0" collapsed="false">
      <c r="A21" s="21" t="n">
        <v>18</v>
      </c>
      <c r="B21" s="21" t="s">
        <v>13</v>
      </c>
      <c r="C21" s="21" t="s">
        <v>161</v>
      </c>
      <c r="D21" s="21" t="s">
        <v>159</v>
      </c>
      <c r="E21" s="22" t="s">
        <v>162</v>
      </c>
      <c r="F21" s="23" t="n">
        <v>1218.2</v>
      </c>
      <c r="G21" s="21" t="s">
        <v>156</v>
      </c>
      <c r="H21" s="21" t="s">
        <v>87</v>
      </c>
      <c r="I21" s="22" t="s">
        <v>163</v>
      </c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customFormat="false" ht="26.25" hidden="false" customHeight="true" outlineLevel="0" collapsed="false">
      <c r="A22" s="21" t="n">
        <v>19</v>
      </c>
      <c r="B22" s="21" t="s">
        <v>13</v>
      </c>
      <c r="C22" s="21" t="s">
        <v>164</v>
      </c>
      <c r="D22" s="21" t="s">
        <v>159</v>
      </c>
      <c r="E22" s="22" t="s">
        <v>165</v>
      </c>
      <c r="F22" s="23" t="n">
        <v>3701.85</v>
      </c>
      <c r="G22" s="21" t="s">
        <v>156</v>
      </c>
      <c r="H22" s="21" t="s">
        <v>87</v>
      </c>
      <c r="I22" s="22" t="s">
        <v>166</v>
      </c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customFormat="false" ht="15" hidden="false" customHeight="true" outlineLevel="0" collapsed="false">
      <c r="A23" s="27" t="n">
        <v>20</v>
      </c>
      <c r="B23" s="27" t="s">
        <v>11</v>
      </c>
      <c r="C23" s="27" t="s">
        <v>43</v>
      </c>
      <c r="D23" s="27" t="s">
        <v>167</v>
      </c>
      <c r="E23" s="27" t="s">
        <v>168</v>
      </c>
      <c r="F23" s="27" t="n">
        <v>2357.03</v>
      </c>
      <c r="G23" s="27" t="s">
        <v>169</v>
      </c>
      <c r="H23" s="27" t="s">
        <v>87</v>
      </c>
      <c r="I23" s="27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customFormat="false" ht="15" hidden="false" customHeight="true" outlineLevel="0" collapsed="false">
      <c r="A24" s="27" t="n">
        <v>21</v>
      </c>
      <c r="B24" s="27" t="s">
        <v>12</v>
      </c>
      <c r="C24" s="27" t="s">
        <v>82</v>
      </c>
      <c r="D24" s="27" t="s">
        <v>170</v>
      </c>
      <c r="E24" s="27" t="s">
        <v>171</v>
      </c>
      <c r="F24" s="27" t="n">
        <v>634</v>
      </c>
      <c r="G24" s="27" t="s">
        <v>172</v>
      </c>
      <c r="H24" s="27" t="s">
        <v>87</v>
      </c>
      <c r="I24" s="27" t="s">
        <v>173</v>
      </c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customFormat="false" ht="15" hidden="false" customHeight="true" outlineLevel="0" collapsed="false">
      <c r="A25" s="27" t="n">
        <v>22</v>
      </c>
      <c r="B25" s="27" t="s">
        <v>13</v>
      </c>
      <c r="C25" s="27" t="s">
        <v>174</v>
      </c>
      <c r="D25" s="27" t="s">
        <v>175</v>
      </c>
      <c r="E25" s="27" t="s">
        <v>176</v>
      </c>
      <c r="F25" s="28" t="n">
        <f aca="false">'Cargos Fresko'!F59</f>
        <v>3984.09</v>
      </c>
      <c r="G25" s="27" t="s">
        <v>177</v>
      </c>
      <c r="H25" s="27" t="s">
        <v>87</v>
      </c>
      <c r="I25" s="27" t="s">
        <v>178</v>
      </c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customFormat="false" ht="15" hidden="false" customHeight="true" outlineLevel="0" collapsed="false">
      <c r="A26" s="27" t="n">
        <v>22</v>
      </c>
      <c r="B26" s="27" t="s">
        <v>179</v>
      </c>
      <c r="C26" s="27"/>
      <c r="D26" s="27" t="s">
        <v>180</v>
      </c>
      <c r="E26" s="27" t="s">
        <v>181</v>
      </c>
      <c r="F26" s="27" t="n">
        <v>5000</v>
      </c>
      <c r="G26" s="27"/>
      <c r="H26" s="27" t="s">
        <v>182</v>
      </c>
      <c r="I26" s="27" t="s">
        <v>183</v>
      </c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customFormat="false" ht="15.75" hidden="false" customHeight="true" outlineLevel="0" collapsed="false">
      <c r="A27" s="27" t="n">
        <v>23</v>
      </c>
      <c r="B27" s="27" t="s">
        <v>11</v>
      </c>
      <c r="C27" s="27" t="s">
        <v>184</v>
      </c>
      <c r="D27" s="27" t="s">
        <v>185</v>
      </c>
      <c r="E27" s="27" t="s">
        <v>186</v>
      </c>
      <c r="F27" s="27" t="n">
        <v>800</v>
      </c>
      <c r="G27" s="27"/>
      <c r="H27" s="27" t="s">
        <v>187</v>
      </c>
      <c r="I27" s="27" t="s">
        <v>188</v>
      </c>
    </row>
    <row r="28" customFormat="false" ht="15.75" hidden="false" customHeight="true" outlineLevel="0" collapsed="false">
      <c r="A28" s="27" t="n">
        <v>24</v>
      </c>
      <c r="B28" s="27" t="s">
        <v>10</v>
      </c>
      <c r="C28" s="27" t="s">
        <v>66</v>
      </c>
      <c r="D28" s="27" t="s">
        <v>189</v>
      </c>
      <c r="E28" s="27" t="s">
        <v>190</v>
      </c>
      <c r="F28" s="27" t="n">
        <v>200</v>
      </c>
      <c r="G28" s="27"/>
      <c r="H28" s="27" t="s">
        <v>191</v>
      </c>
      <c r="I28" s="27" t="s">
        <v>192</v>
      </c>
    </row>
    <row r="29" customFormat="false" ht="15.75" hidden="false" customHeight="true" outlineLevel="0" collapsed="false">
      <c r="E29" s="16" t="s">
        <v>193</v>
      </c>
      <c r="F29" s="17" t="n">
        <f aca="false">SUM(F5:F28)</f>
        <v>141761.71</v>
      </c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customFormat="false" ht="15.75" hidden="false" customHeight="true" outlineLevel="0" collapsed="false"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customFormat="false" ht="15.75" hidden="false" customHeight="true" outlineLevel="0" collapsed="false"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customFormat="false" ht="15.75" hidden="false" customHeight="true" outlineLevel="0" collapsed="false"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customFormat="false" ht="15.75" hidden="false" customHeight="true" outlineLevel="0" collapsed="false"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customFormat="false" ht="15.75" hidden="false" customHeight="true" outlineLevel="0" collapsed="false"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customFormat="false" ht="15.75" hidden="false" customHeight="true" outlineLevel="0" collapsed="false"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customFormat="false" ht="15.75" hidden="false" customHeight="true" outlineLevel="0" collapsed="false"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customFormat="false" ht="15.75" hidden="false" customHeight="true" outlineLevel="0" collapsed="false"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customFormat="false" ht="15.75" hidden="false" customHeight="true" outlineLevel="0" collapsed="false"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customFormat="false" ht="15.75" hidden="false" customHeight="true" outlineLevel="0" collapsed="false"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customFormat="false" ht="15.75" hidden="false" customHeight="true" outlineLevel="0" collapsed="false"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customFormat="false" ht="15.75" hidden="false" customHeight="true" outlineLevel="0" collapsed="false"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customFormat="false" ht="15.75" hidden="false" customHeight="true" outlineLevel="0" collapsed="false"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customFormat="false" ht="15.75" hidden="false" customHeight="true" outlineLevel="0" collapsed="false"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customFormat="false" ht="15.75" hidden="false" customHeight="true" outlineLevel="0" collapsed="false"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customFormat="false" ht="15.75" hidden="false" customHeight="true" outlineLevel="0" collapsed="false"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customFormat="false" ht="15.75" hidden="false" customHeight="true" outlineLevel="0" collapsed="false"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customFormat="false" ht="15.75" hidden="false" customHeight="true" outlineLevel="0" collapsed="false"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customFormat="false" ht="15.75" hidden="false" customHeight="true" outlineLevel="0" collapsed="false"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customFormat="false" ht="15.75" hidden="false" customHeight="true" outlineLevel="0" collapsed="false"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customFormat="false" ht="15.75" hidden="false" customHeight="true" outlineLevel="0" collapsed="false"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customFormat="false" ht="15.75" hidden="false" customHeight="true" outlineLevel="0" collapsed="false"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customFormat="false" ht="15.75" hidden="false" customHeight="true" outlineLevel="0" collapsed="false"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customFormat="false" ht="15.75" hidden="false" customHeight="true" outlineLevel="0" collapsed="false"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customFormat="false" ht="15.75" hidden="false" customHeight="true" outlineLevel="0" collapsed="false"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customFormat="false" ht="15.75" hidden="false" customHeight="true" outlineLevel="0" collapsed="false"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customFormat="false" ht="15.75" hidden="false" customHeight="true" outlineLevel="0" collapsed="false"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customFormat="false" ht="15.75" hidden="false" customHeight="true" outlineLevel="0" collapsed="false"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customFormat="false" ht="15.75" hidden="false" customHeight="true" outlineLevel="0" collapsed="false"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customFormat="false" ht="15.75" hidden="false" customHeight="true" outlineLevel="0" collapsed="false"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customFormat="false" ht="15.75" hidden="false" customHeight="true" outlineLevel="0" collapsed="false"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customFormat="false" ht="15.75" hidden="false" customHeight="true" outlineLevel="0" collapsed="false"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customFormat="false" ht="15.75" hidden="false" customHeight="true" outlineLevel="0" collapsed="false"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customFormat="false" ht="15.75" hidden="false" customHeight="true" outlineLevel="0" collapsed="false"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customFormat="false" ht="15.75" hidden="false" customHeight="true" outlineLevel="0" collapsed="false"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customFormat="false" ht="15.75" hidden="false" customHeight="true" outlineLevel="0" collapsed="false"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customFormat="false" ht="15.75" hidden="false" customHeight="true" outlineLevel="0" collapsed="false"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customFormat="false" ht="15.75" hidden="false" customHeight="true" outlineLevel="0" collapsed="false"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customFormat="false" ht="15.75" hidden="false" customHeight="true" outlineLevel="0" collapsed="false"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customFormat="false" ht="15.75" hidden="false" customHeight="true" outlineLevel="0" collapsed="false"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customFormat="false" ht="15.75" hidden="false" customHeight="true" outlineLevel="0" collapsed="false"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customFormat="false" ht="15.75" hidden="false" customHeight="true" outlineLevel="0" collapsed="false"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customFormat="false" ht="15.75" hidden="false" customHeight="true" outlineLevel="0" collapsed="false"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customFormat="false" ht="15.75" hidden="false" customHeight="true" outlineLevel="0" collapsed="false"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customFormat="false" ht="15.75" hidden="false" customHeight="true" outlineLevel="0" collapsed="false"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customFormat="false" ht="15.75" hidden="false" customHeight="true" outlineLevel="0" collapsed="false"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customFormat="false" ht="15.75" hidden="false" customHeight="true" outlineLevel="0" collapsed="false"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customFormat="false" ht="15.75" hidden="false" customHeight="true" outlineLevel="0" collapsed="false"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customFormat="false" ht="15.75" hidden="false" customHeight="true" outlineLevel="0" collapsed="false"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customFormat="false" ht="15.75" hidden="false" customHeight="true" outlineLevel="0" collapsed="false"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customFormat="false" ht="15.75" hidden="false" customHeight="true" outlineLevel="0" collapsed="false"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customFormat="false" ht="15.75" hidden="false" customHeight="true" outlineLevel="0" collapsed="false"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customFormat="false" ht="15.75" hidden="false" customHeight="true" outlineLevel="0" collapsed="false"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customFormat="false" ht="15.75" hidden="false" customHeight="true" outlineLevel="0" collapsed="false"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customFormat="false" ht="15.75" hidden="false" customHeight="true" outlineLevel="0" collapsed="false"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customFormat="false" ht="15.75" hidden="false" customHeight="true" outlineLevel="0" collapsed="false"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customFormat="false" ht="15.75" hidden="false" customHeight="true" outlineLevel="0" collapsed="false"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customFormat="false" ht="15.75" hidden="false" customHeight="true" outlineLevel="0" collapsed="false"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customFormat="false" ht="15.75" hidden="false" customHeight="true" outlineLevel="0" collapsed="false"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customFormat="false" ht="15.75" hidden="false" customHeight="true" outlineLevel="0" collapsed="false"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customFormat="false" ht="15.75" hidden="false" customHeight="true" outlineLevel="0" collapsed="false"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customFormat="false" ht="15.75" hidden="false" customHeight="true" outlineLevel="0" collapsed="false"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customFormat="false" ht="15.75" hidden="false" customHeight="true" outlineLevel="0" collapsed="false"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customFormat="false" ht="15.75" hidden="false" customHeight="true" outlineLevel="0" collapsed="false"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customFormat="false" ht="15.75" hidden="false" customHeight="true" outlineLevel="0" collapsed="false"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customFormat="false" ht="15.75" hidden="false" customHeight="true" outlineLevel="0" collapsed="false"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customFormat="false" ht="15.75" hidden="false" customHeight="true" outlineLevel="0" collapsed="false"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customFormat="false" ht="15.75" hidden="false" customHeight="true" outlineLevel="0" collapsed="false"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customFormat="false" ht="15.75" hidden="false" customHeight="true" outlineLevel="0" collapsed="false"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customFormat="false" ht="15.75" hidden="false" customHeight="true" outlineLevel="0" collapsed="false"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customFormat="false" ht="15.75" hidden="false" customHeight="true" outlineLevel="0" collapsed="false"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customFormat="false" ht="15.75" hidden="false" customHeight="true" outlineLevel="0" collapsed="false"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customFormat="false" ht="15.75" hidden="false" customHeight="true" outlineLevel="0" collapsed="false"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customFormat="false" ht="15.75" hidden="false" customHeight="true" outlineLevel="0" collapsed="false"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customFormat="false" ht="15.75" hidden="false" customHeight="true" outlineLevel="0" collapsed="false"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customFormat="false" ht="15.75" hidden="false" customHeight="true" outlineLevel="0" collapsed="false"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customFormat="false" ht="15.75" hidden="false" customHeight="true" outlineLevel="0" collapsed="false"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customFormat="false" ht="15.75" hidden="false" customHeight="true" outlineLevel="0" collapsed="false"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customFormat="false" ht="15.75" hidden="false" customHeight="true" outlineLevel="0" collapsed="false"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customFormat="false" ht="15.75" hidden="false" customHeight="true" outlineLevel="0" collapsed="false"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customFormat="false" ht="15.75" hidden="false" customHeight="true" outlineLevel="0" collapsed="false"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customFormat="false" ht="15.75" hidden="false" customHeight="true" outlineLevel="0" collapsed="false"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customFormat="false" ht="15.75" hidden="false" customHeight="true" outlineLevel="0" collapsed="false"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customFormat="false" ht="15.75" hidden="false" customHeight="true" outlineLevel="0" collapsed="false"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customFormat="false" ht="15.75" hidden="false" customHeight="true" outlineLevel="0" collapsed="false"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customFormat="false" ht="15.75" hidden="false" customHeight="true" outlineLevel="0" collapsed="false"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customFormat="false" ht="15.75" hidden="false" customHeight="true" outlineLevel="0" collapsed="false"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customFormat="false" ht="15.75" hidden="false" customHeight="true" outlineLevel="0" collapsed="false"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customFormat="false" ht="15.75" hidden="false" customHeight="true" outlineLevel="0" collapsed="false"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customFormat="false" ht="15.75" hidden="false" customHeight="true" outlineLevel="0" collapsed="false"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customFormat="false" ht="15.75" hidden="false" customHeight="true" outlineLevel="0" collapsed="false"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customFormat="false" ht="15.75" hidden="false" customHeight="true" outlineLevel="0" collapsed="false"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customFormat="false" ht="15.75" hidden="false" customHeight="true" outlineLevel="0" collapsed="false"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customFormat="false" ht="15.75" hidden="false" customHeight="true" outlineLevel="0" collapsed="false"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customFormat="false" ht="15.75" hidden="false" customHeight="true" outlineLevel="0" collapsed="false"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customFormat="false" ht="15.75" hidden="false" customHeight="true" outlineLevel="0" collapsed="false"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customFormat="false" ht="15.75" hidden="false" customHeight="true" outlineLevel="0" collapsed="false"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customFormat="false" ht="15.75" hidden="false" customHeight="true" outlineLevel="0" collapsed="false"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customFormat="false" ht="15.75" hidden="false" customHeight="true" outlineLevel="0" collapsed="false"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customFormat="false" ht="15.75" hidden="false" customHeight="true" outlineLevel="0" collapsed="false"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customFormat="false" ht="15.75" hidden="false" customHeight="true" outlineLevel="0" collapsed="false"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customFormat="false" ht="15.75" hidden="false" customHeight="true" outlineLevel="0" collapsed="false"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customFormat="false" ht="15.75" hidden="false" customHeight="true" outlineLevel="0" collapsed="false"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customFormat="false" ht="15.75" hidden="false" customHeight="true" outlineLevel="0" collapsed="false"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customFormat="false" ht="15.75" hidden="false" customHeight="true" outlineLevel="0" collapsed="false"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customFormat="false" ht="15.75" hidden="false" customHeight="true" outlineLevel="0" collapsed="false"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customFormat="false" ht="15.75" hidden="false" customHeight="true" outlineLevel="0" collapsed="false"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customFormat="false" ht="15.75" hidden="false" customHeight="true" outlineLevel="0" collapsed="false"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customFormat="false" ht="15.75" hidden="false" customHeight="true" outlineLevel="0" collapsed="false"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customFormat="false" ht="15.75" hidden="false" customHeight="true" outlineLevel="0" collapsed="false"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customFormat="false" ht="15.75" hidden="false" customHeight="true" outlineLevel="0" collapsed="false"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customFormat="false" ht="15.75" hidden="false" customHeight="true" outlineLevel="0" collapsed="false"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customFormat="false" ht="15.75" hidden="false" customHeight="true" outlineLevel="0" collapsed="false"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customFormat="false" ht="15.75" hidden="false" customHeight="true" outlineLevel="0" collapsed="false"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customFormat="false" ht="15.75" hidden="false" customHeight="true" outlineLevel="0" collapsed="false"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customFormat="false" ht="15.75" hidden="false" customHeight="true" outlineLevel="0" collapsed="false"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customFormat="false" ht="15.75" hidden="false" customHeight="true" outlineLevel="0" collapsed="false"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customFormat="false" ht="15.75" hidden="false" customHeight="true" outlineLevel="0" collapsed="false"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customFormat="false" ht="15.75" hidden="false" customHeight="true" outlineLevel="0" collapsed="false"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customFormat="false" ht="15.75" hidden="false" customHeight="true" outlineLevel="0" collapsed="false"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customFormat="false" ht="15.75" hidden="false" customHeight="true" outlineLevel="0" collapsed="false"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customFormat="false" ht="15.75" hidden="false" customHeight="true" outlineLevel="0" collapsed="false"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customFormat="false" ht="15.75" hidden="false" customHeight="true" outlineLevel="0" collapsed="false"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customFormat="false" ht="15.75" hidden="false" customHeight="true" outlineLevel="0" collapsed="false"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customFormat="false" ht="15.75" hidden="false" customHeight="true" outlineLevel="0" collapsed="false"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customFormat="false" ht="15.75" hidden="false" customHeight="true" outlineLevel="0" collapsed="false"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customFormat="false" ht="15.75" hidden="false" customHeight="true" outlineLevel="0" collapsed="false"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customFormat="false" ht="15.75" hidden="false" customHeight="true" outlineLevel="0" collapsed="false"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customFormat="false" ht="15.75" hidden="false" customHeight="true" outlineLevel="0" collapsed="false"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customFormat="false" ht="15.75" hidden="false" customHeight="true" outlineLevel="0" collapsed="false"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customFormat="false" ht="15.75" hidden="false" customHeight="true" outlineLevel="0" collapsed="false"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customFormat="false" ht="15.75" hidden="false" customHeight="true" outlineLevel="0" collapsed="false"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customFormat="false" ht="15.75" hidden="false" customHeight="true" outlineLevel="0" collapsed="false"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customFormat="false" ht="15.75" hidden="false" customHeight="true" outlineLevel="0" collapsed="false"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customFormat="false" ht="15.75" hidden="false" customHeight="true" outlineLevel="0" collapsed="false"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customFormat="false" ht="15.75" hidden="false" customHeight="true" outlineLevel="0" collapsed="false"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customFormat="false" ht="15.75" hidden="false" customHeight="true" outlineLevel="0" collapsed="false"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customFormat="false" ht="15.75" hidden="false" customHeight="true" outlineLevel="0" collapsed="false"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customFormat="false" ht="15.75" hidden="false" customHeight="true" outlineLevel="0" collapsed="false"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customFormat="false" ht="15.75" hidden="false" customHeight="true" outlineLevel="0" collapsed="false"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customFormat="false" ht="15.75" hidden="false" customHeight="true" outlineLevel="0" collapsed="false"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customFormat="false" ht="15.75" hidden="false" customHeight="true" outlineLevel="0" collapsed="false"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customFormat="false" ht="15.75" hidden="false" customHeight="true" outlineLevel="0" collapsed="false"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customFormat="false" ht="15.75" hidden="false" customHeight="true" outlineLevel="0" collapsed="false"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customFormat="false" ht="15.75" hidden="false" customHeight="true" outlineLevel="0" collapsed="false"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customFormat="false" ht="15.75" hidden="false" customHeight="true" outlineLevel="0" collapsed="false"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customFormat="false" ht="15.75" hidden="false" customHeight="true" outlineLevel="0" collapsed="false"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customFormat="false" ht="15.75" hidden="false" customHeight="true" outlineLevel="0" collapsed="false"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customFormat="false" ht="15.75" hidden="false" customHeight="true" outlineLevel="0" collapsed="false"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customFormat="false" ht="15.75" hidden="false" customHeight="true" outlineLevel="0" collapsed="false"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customFormat="false" ht="15.75" hidden="false" customHeight="true" outlineLevel="0" collapsed="false"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customFormat="false" ht="15.75" hidden="false" customHeight="true" outlineLevel="0" collapsed="false"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customFormat="false" ht="15.75" hidden="false" customHeight="true" outlineLevel="0" collapsed="false"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customFormat="false" ht="15.75" hidden="false" customHeight="true" outlineLevel="0" collapsed="false"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customFormat="false" ht="15.75" hidden="false" customHeight="true" outlineLevel="0" collapsed="false"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customFormat="false" ht="15.75" hidden="false" customHeight="true" outlineLevel="0" collapsed="false"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customFormat="false" ht="15.75" hidden="false" customHeight="true" outlineLevel="0" collapsed="false"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customFormat="false" ht="15.75" hidden="false" customHeight="true" outlineLevel="0" collapsed="false"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customFormat="false" ht="15.75" hidden="false" customHeight="true" outlineLevel="0" collapsed="false"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customFormat="false" ht="15.75" hidden="false" customHeight="true" outlineLevel="0" collapsed="false"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customFormat="false" ht="15.75" hidden="false" customHeight="true" outlineLevel="0" collapsed="false"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customFormat="false" ht="15.75" hidden="false" customHeight="true" outlineLevel="0" collapsed="false"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customFormat="false" ht="15.75" hidden="false" customHeight="true" outlineLevel="0" collapsed="false"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customFormat="false" ht="15.75" hidden="false" customHeight="true" outlineLevel="0" collapsed="false"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customFormat="false" ht="15.75" hidden="false" customHeight="true" outlineLevel="0" collapsed="false"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customFormat="false" ht="15.75" hidden="false" customHeight="true" outlineLevel="0" collapsed="false"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customFormat="false" ht="15.75" hidden="false" customHeight="true" outlineLevel="0" collapsed="false"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customFormat="false" ht="15.75" hidden="false" customHeight="true" outlineLevel="0" collapsed="false"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customFormat="false" ht="15.75" hidden="false" customHeight="true" outlineLevel="0" collapsed="false"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customFormat="false" ht="15.75" hidden="false" customHeight="true" outlineLevel="0" collapsed="false"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customFormat="false" ht="15.75" hidden="false" customHeight="true" outlineLevel="0" collapsed="false"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customFormat="false" ht="15.75" hidden="false" customHeight="true" outlineLevel="0" collapsed="false"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customFormat="false" ht="15.75" hidden="false" customHeight="true" outlineLevel="0" collapsed="false"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customFormat="false" ht="15.75" hidden="false" customHeight="true" outlineLevel="0" collapsed="false"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customFormat="false" ht="15.75" hidden="false" customHeight="true" outlineLevel="0" collapsed="false"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customFormat="false" ht="15.75" hidden="false" customHeight="true" outlineLevel="0" collapsed="false"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customFormat="false" ht="15.75" hidden="false" customHeight="true" outlineLevel="0" collapsed="false"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customFormat="false" ht="15.75" hidden="false" customHeight="true" outlineLevel="0" collapsed="false"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customFormat="false" ht="15.75" hidden="false" customHeight="true" outlineLevel="0" collapsed="false"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customFormat="false" ht="15.75" hidden="false" customHeight="true" outlineLevel="0" collapsed="false"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customFormat="false" ht="15.75" hidden="false" customHeight="true" outlineLevel="0" collapsed="false"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customFormat="false" ht="15.75" hidden="false" customHeight="true" outlineLevel="0" collapsed="false"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customFormat="false" ht="15.75" hidden="false" customHeight="true" outlineLevel="0" collapsed="false"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customFormat="false" ht="15.75" hidden="false" customHeight="true" outlineLevel="0" collapsed="false"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customFormat="false" ht="15.75" hidden="false" customHeight="true" outlineLevel="0" collapsed="false"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customFormat="false" ht="15.75" hidden="false" customHeight="true" outlineLevel="0" collapsed="false"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customFormat="false" ht="15.75" hidden="false" customHeight="true" outlineLevel="0" collapsed="false"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customFormat="false" ht="15.75" hidden="false" customHeight="true" outlineLevel="0" collapsed="false"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customFormat="false" ht="15.75" hidden="false" customHeight="true" outlineLevel="0" collapsed="false"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customFormat="false" ht="15.75" hidden="false" customHeight="true" outlineLevel="0" collapsed="false"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customFormat="false" ht="15.75" hidden="false" customHeight="true" outlineLevel="0" collapsed="false"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customFormat="false" ht="15.75" hidden="false" customHeight="true" outlineLevel="0" collapsed="false"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customFormat="false" ht="15.75" hidden="false" customHeight="true" outlineLevel="0" collapsed="false"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customFormat="false" ht="15.75" hidden="false" customHeight="true" outlineLevel="0" collapsed="false"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customFormat="false" ht="15.75" hidden="false" customHeight="true" outlineLevel="0" collapsed="false"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customFormat="false" ht="15.75" hidden="false" customHeight="true" outlineLevel="0" collapsed="false"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customFormat="false" ht="15.75" hidden="false" customHeight="true" outlineLevel="0" collapsed="false"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customFormat="false" ht="15.75" hidden="false" customHeight="true" outlineLevel="0" collapsed="false"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customFormat="false" ht="15.75" hidden="false" customHeight="true" outlineLevel="0" collapsed="false"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customFormat="false" ht="15.75" hidden="false" customHeight="true" outlineLevel="0" collapsed="false"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customFormat="false" ht="15.75" hidden="false" customHeight="true" outlineLevel="0" collapsed="false"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customFormat="false" ht="15.75" hidden="false" customHeight="true" outlineLevel="0" collapsed="false"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customFormat="false" ht="15.75" hidden="false" customHeight="true" outlineLevel="0" collapsed="false"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customFormat="false" ht="15.75" hidden="false" customHeight="true" outlineLevel="0" collapsed="false"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customFormat="false" ht="15.75" hidden="false" customHeight="true" outlineLevel="0" collapsed="false"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customFormat="false" ht="15.75" hidden="false" customHeight="true" outlineLevel="0" collapsed="false"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customFormat="false" ht="15.75" hidden="false" customHeight="true" outlineLevel="0" collapsed="false"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customFormat="false" ht="15.75" hidden="false" customHeight="true" outlineLevel="0" collapsed="false"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customFormat="false" ht="15.75" hidden="false" customHeight="true" outlineLevel="0" collapsed="false"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customFormat="false" ht="15.75" hidden="false" customHeight="true" outlineLevel="0" collapsed="false"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customFormat="false" ht="15.75" hidden="false" customHeight="true" outlineLevel="0" collapsed="false"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customFormat="false" ht="15.75" hidden="false" customHeight="true" outlineLevel="0" collapsed="false"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customFormat="false" ht="15.75" hidden="false" customHeight="true" outlineLevel="0" collapsed="false"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customFormat="false" ht="15.75" hidden="false" customHeight="true" outlineLevel="0" collapsed="false"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customFormat="false" ht="15.75" hidden="false" customHeight="true" outlineLevel="0" collapsed="false"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customFormat="false" ht="15.75" hidden="false" customHeight="true" outlineLevel="0" collapsed="false"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customFormat="false" ht="15.75" hidden="false" customHeight="true" outlineLevel="0" collapsed="false"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customFormat="false" ht="15.75" hidden="false" customHeight="true" outlineLevel="0" collapsed="false"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customFormat="false" ht="15.75" hidden="false" customHeight="true" outlineLevel="0" collapsed="false"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customFormat="false" ht="15.75" hidden="false" customHeight="true" outlineLevel="0" collapsed="false"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customFormat="false" ht="15.75" hidden="false" customHeight="true" outlineLevel="0" collapsed="false"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customFormat="false" ht="15.75" hidden="false" customHeight="true" outlineLevel="0" collapsed="false"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customFormat="false" ht="15.75" hidden="false" customHeight="true" outlineLevel="0" collapsed="false"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customFormat="false" ht="15.75" hidden="false" customHeight="true" outlineLevel="0" collapsed="false"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customFormat="false" ht="15.75" hidden="false" customHeight="true" outlineLevel="0" collapsed="false"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customFormat="false" ht="15.75" hidden="false" customHeight="true" outlineLevel="0" collapsed="false"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customFormat="false" ht="15.75" hidden="false" customHeight="true" outlineLevel="0" collapsed="false"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customFormat="false" ht="15.75" hidden="false" customHeight="true" outlineLevel="0" collapsed="false"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customFormat="false" ht="15.75" hidden="false" customHeight="true" outlineLevel="0" collapsed="false"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customFormat="false" ht="15.75" hidden="false" customHeight="true" outlineLevel="0" collapsed="false"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customFormat="false" ht="15.75" hidden="false" customHeight="true" outlineLevel="0" collapsed="false"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customFormat="false" ht="15.75" hidden="false" customHeight="true" outlineLevel="0" collapsed="false"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customFormat="false" ht="15.75" hidden="false" customHeight="true" outlineLevel="0" collapsed="false"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customFormat="false" ht="15.75" hidden="false" customHeight="true" outlineLevel="0" collapsed="false"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customFormat="false" ht="15.75" hidden="false" customHeight="true" outlineLevel="0" collapsed="false"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customFormat="false" ht="15.75" hidden="false" customHeight="true" outlineLevel="0" collapsed="false"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customFormat="false" ht="15.75" hidden="false" customHeight="true" outlineLevel="0" collapsed="false"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customFormat="false" ht="15.75" hidden="false" customHeight="true" outlineLevel="0" collapsed="false"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customFormat="false" ht="15.75" hidden="false" customHeight="true" outlineLevel="0" collapsed="false"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customFormat="false" ht="15.75" hidden="false" customHeight="true" outlineLevel="0" collapsed="false"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customFormat="false" ht="15.75" hidden="false" customHeight="true" outlineLevel="0" collapsed="false"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customFormat="false" ht="15.75" hidden="false" customHeight="true" outlineLevel="0" collapsed="false"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customFormat="false" ht="15.75" hidden="false" customHeight="true" outlineLevel="0" collapsed="false"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customFormat="false" ht="15.75" hidden="false" customHeight="true" outlineLevel="0" collapsed="false"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customFormat="false" ht="15.75" hidden="false" customHeight="true" outlineLevel="0" collapsed="false"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customFormat="false" ht="15.75" hidden="false" customHeight="true" outlineLevel="0" collapsed="false"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customFormat="false" ht="15.75" hidden="false" customHeight="true" outlineLevel="0" collapsed="false"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customFormat="false" ht="15.75" hidden="false" customHeight="true" outlineLevel="0" collapsed="false"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customFormat="false" ht="15.75" hidden="false" customHeight="true" outlineLevel="0" collapsed="false"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customFormat="false" ht="15.75" hidden="false" customHeight="true" outlineLevel="0" collapsed="false"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customFormat="false" ht="15.75" hidden="false" customHeight="true" outlineLevel="0" collapsed="false"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customFormat="false" ht="15.75" hidden="false" customHeight="true" outlineLevel="0" collapsed="false"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customFormat="false" ht="15.75" hidden="false" customHeight="true" outlineLevel="0" collapsed="false"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customFormat="false" ht="15.75" hidden="false" customHeight="true" outlineLevel="0" collapsed="false"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customFormat="false" ht="15.75" hidden="false" customHeight="true" outlineLevel="0" collapsed="false"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customFormat="false" ht="15.75" hidden="false" customHeight="true" outlineLevel="0" collapsed="false"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customFormat="false" ht="15.75" hidden="false" customHeight="true" outlineLevel="0" collapsed="false"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customFormat="false" ht="15.75" hidden="false" customHeight="true" outlineLevel="0" collapsed="false"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customFormat="false" ht="15.75" hidden="false" customHeight="true" outlineLevel="0" collapsed="false"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customFormat="false" ht="15.75" hidden="false" customHeight="true" outlineLevel="0" collapsed="false"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customFormat="false" ht="15.75" hidden="false" customHeight="true" outlineLevel="0" collapsed="false"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customFormat="false" ht="15.75" hidden="false" customHeight="true" outlineLevel="0" collapsed="false"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customFormat="false" ht="15.75" hidden="false" customHeight="true" outlineLevel="0" collapsed="false"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customFormat="false" ht="15.75" hidden="false" customHeight="true" outlineLevel="0" collapsed="false"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customFormat="false" ht="15.75" hidden="false" customHeight="true" outlineLevel="0" collapsed="false"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customFormat="false" ht="15.75" hidden="false" customHeight="true" outlineLevel="0" collapsed="false"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customFormat="false" ht="15.75" hidden="false" customHeight="true" outlineLevel="0" collapsed="false"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customFormat="false" ht="15.75" hidden="false" customHeight="true" outlineLevel="0" collapsed="false"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customFormat="false" ht="15.75" hidden="false" customHeight="true" outlineLevel="0" collapsed="false"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customFormat="false" ht="15.75" hidden="false" customHeight="true" outlineLevel="0" collapsed="false"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customFormat="false" ht="15.75" hidden="false" customHeight="true" outlineLevel="0" collapsed="false"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customFormat="false" ht="15.75" hidden="false" customHeight="true" outlineLevel="0" collapsed="false"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customFormat="false" ht="15.75" hidden="false" customHeight="true" outlineLevel="0" collapsed="false"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customFormat="false" ht="15.75" hidden="false" customHeight="true" outlineLevel="0" collapsed="false"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customFormat="false" ht="15.75" hidden="false" customHeight="true" outlineLevel="0" collapsed="false"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customFormat="false" ht="15.75" hidden="false" customHeight="true" outlineLevel="0" collapsed="false"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customFormat="false" ht="15.75" hidden="false" customHeight="true" outlineLevel="0" collapsed="false"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customFormat="false" ht="15.75" hidden="false" customHeight="true" outlineLevel="0" collapsed="false"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customFormat="false" ht="15.75" hidden="false" customHeight="true" outlineLevel="0" collapsed="false"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customFormat="false" ht="15.75" hidden="false" customHeight="true" outlineLevel="0" collapsed="false"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customFormat="false" ht="15.75" hidden="false" customHeight="true" outlineLevel="0" collapsed="false"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customFormat="false" ht="15.75" hidden="false" customHeight="true" outlineLevel="0" collapsed="false"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customFormat="false" ht="15.75" hidden="false" customHeight="true" outlineLevel="0" collapsed="false"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customFormat="false" ht="15.75" hidden="false" customHeight="true" outlineLevel="0" collapsed="false"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customFormat="false" ht="15.75" hidden="false" customHeight="true" outlineLevel="0" collapsed="false"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customFormat="false" ht="15.75" hidden="false" customHeight="true" outlineLevel="0" collapsed="false"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customFormat="false" ht="15.75" hidden="false" customHeight="true" outlineLevel="0" collapsed="false"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customFormat="false" ht="15.75" hidden="false" customHeight="true" outlineLevel="0" collapsed="false"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customFormat="false" ht="15.75" hidden="false" customHeight="true" outlineLevel="0" collapsed="false"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customFormat="false" ht="15.75" hidden="false" customHeight="true" outlineLevel="0" collapsed="false"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customFormat="false" ht="15.75" hidden="false" customHeight="true" outlineLevel="0" collapsed="false"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customFormat="false" ht="15.75" hidden="false" customHeight="true" outlineLevel="0" collapsed="false"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customFormat="false" ht="15.75" hidden="false" customHeight="true" outlineLevel="0" collapsed="false"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customFormat="false" ht="15.75" hidden="false" customHeight="true" outlineLevel="0" collapsed="false"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customFormat="false" ht="15.75" hidden="false" customHeight="true" outlineLevel="0" collapsed="false"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customFormat="false" ht="15.75" hidden="false" customHeight="true" outlineLevel="0" collapsed="false"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customFormat="false" ht="15.75" hidden="false" customHeight="true" outlineLevel="0" collapsed="false"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customFormat="false" ht="15.75" hidden="false" customHeight="true" outlineLevel="0" collapsed="false"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customFormat="false" ht="15.75" hidden="false" customHeight="true" outlineLevel="0" collapsed="false"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customFormat="false" ht="15.75" hidden="false" customHeight="true" outlineLevel="0" collapsed="false"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customFormat="false" ht="15.75" hidden="false" customHeight="true" outlineLevel="0" collapsed="false"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customFormat="false" ht="15.75" hidden="false" customHeight="true" outlineLevel="0" collapsed="false"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customFormat="false" ht="15.75" hidden="false" customHeight="true" outlineLevel="0" collapsed="false"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customFormat="false" ht="15.75" hidden="false" customHeight="true" outlineLevel="0" collapsed="false"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customFormat="false" ht="15.75" hidden="false" customHeight="true" outlineLevel="0" collapsed="false"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customFormat="false" ht="15.75" hidden="false" customHeight="true" outlineLevel="0" collapsed="false"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customFormat="false" ht="15.75" hidden="false" customHeight="true" outlineLevel="0" collapsed="false"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customFormat="false" ht="15.75" hidden="false" customHeight="true" outlineLevel="0" collapsed="false"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customFormat="false" ht="15.75" hidden="false" customHeight="true" outlineLevel="0" collapsed="false"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customFormat="false" ht="15.75" hidden="false" customHeight="true" outlineLevel="0" collapsed="false"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customFormat="false" ht="15.75" hidden="false" customHeight="true" outlineLevel="0" collapsed="false"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customFormat="false" ht="15.75" hidden="false" customHeight="true" outlineLevel="0" collapsed="false"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customFormat="false" ht="15.75" hidden="false" customHeight="true" outlineLevel="0" collapsed="false"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customFormat="false" ht="15.75" hidden="false" customHeight="true" outlineLevel="0" collapsed="false"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customFormat="false" ht="15.75" hidden="false" customHeight="true" outlineLevel="0" collapsed="false"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customFormat="false" ht="15.75" hidden="false" customHeight="true" outlineLevel="0" collapsed="false"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customFormat="false" ht="15.75" hidden="false" customHeight="true" outlineLevel="0" collapsed="false"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customFormat="false" ht="15.75" hidden="false" customHeight="true" outlineLevel="0" collapsed="false"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customFormat="false" ht="15.75" hidden="false" customHeight="true" outlineLevel="0" collapsed="false"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customFormat="false" ht="15.75" hidden="false" customHeight="true" outlineLevel="0" collapsed="false"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customFormat="false" ht="15.75" hidden="false" customHeight="true" outlineLevel="0" collapsed="false"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customFormat="false" ht="15.75" hidden="false" customHeight="true" outlineLevel="0" collapsed="false"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customFormat="false" ht="15.75" hidden="false" customHeight="true" outlineLevel="0" collapsed="false"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customFormat="false" ht="15.75" hidden="false" customHeight="true" outlineLevel="0" collapsed="false"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customFormat="false" ht="15.75" hidden="false" customHeight="true" outlineLevel="0" collapsed="false"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customFormat="false" ht="15.75" hidden="false" customHeight="true" outlineLevel="0" collapsed="false"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customFormat="false" ht="15.75" hidden="false" customHeight="true" outlineLevel="0" collapsed="false"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customFormat="false" ht="15.75" hidden="false" customHeight="true" outlineLevel="0" collapsed="false"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customFormat="false" ht="15.75" hidden="false" customHeight="true" outlineLevel="0" collapsed="false"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customFormat="false" ht="15.75" hidden="false" customHeight="true" outlineLevel="0" collapsed="false"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customFormat="false" ht="15.75" hidden="false" customHeight="true" outlineLevel="0" collapsed="false"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customFormat="false" ht="15.75" hidden="false" customHeight="true" outlineLevel="0" collapsed="false"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customFormat="false" ht="15.75" hidden="false" customHeight="true" outlineLevel="0" collapsed="false"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customFormat="false" ht="15.75" hidden="false" customHeight="true" outlineLevel="0" collapsed="false"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customFormat="false" ht="15.75" hidden="false" customHeight="true" outlineLevel="0" collapsed="false"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customFormat="false" ht="15.75" hidden="false" customHeight="true" outlineLevel="0" collapsed="false"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customFormat="false" ht="15.75" hidden="false" customHeight="true" outlineLevel="0" collapsed="false"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customFormat="false" ht="15.75" hidden="false" customHeight="true" outlineLevel="0" collapsed="false"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customFormat="false" ht="15.75" hidden="false" customHeight="true" outlineLevel="0" collapsed="false"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customFormat="false" ht="15.75" hidden="false" customHeight="true" outlineLevel="0" collapsed="false"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customFormat="false" ht="15.75" hidden="false" customHeight="true" outlineLevel="0" collapsed="false"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customFormat="false" ht="15.75" hidden="false" customHeight="true" outlineLevel="0" collapsed="false"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customFormat="false" ht="15.75" hidden="false" customHeight="true" outlineLevel="0" collapsed="false"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customFormat="false" ht="15.75" hidden="false" customHeight="true" outlineLevel="0" collapsed="false"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customFormat="false" ht="15.75" hidden="false" customHeight="true" outlineLevel="0" collapsed="false"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customFormat="false" ht="15.75" hidden="false" customHeight="true" outlineLevel="0" collapsed="false"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customFormat="false" ht="15.75" hidden="false" customHeight="true" outlineLevel="0" collapsed="false"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customFormat="false" ht="15.75" hidden="false" customHeight="true" outlineLevel="0" collapsed="false"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customFormat="false" ht="15.75" hidden="false" customHeight="true" outlineLevel="0" collapsed="false"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customFormat="false" ht="15.75" hidden="false" customHeight="true" outlineLevel="0" collapsed="false"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customFormat="false" ht="15.75" hidden="false" customHeight="true" outlineLevel="0" collapsed="false"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customFormat="false" ht="15.75" hidden="false" customHeight="true" outlineLevel="0" collapsed="false"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customFormat="false" ht="15.75" hidden="false" customHeight="true" outlineLevel="0" collapsed="false"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customFormat="false" ht="15.75" hidden="false" customHeight="true" outlineLevel="0" collapsed="false"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customFormat="false" ht="15.75" hidden="false" customHeight="true" outlineLevel="0" collapsed="false"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customFormat="false" ht="15.75" hidden="false" customHeight="true" outlineLevel="0" collapsed="false"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customFormat="false" ht="15.75" hidden="false" customHeight="true" outlineLevel="0" collapsed="false"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customFormat="false" ht="15.75" hidden="false" customHeight="true" outlineLevel="0" collapsed="false"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customFormat="false" ht="15.75" hidden="false" customHeight="true" outlineLevel="0" collapsed="false"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customFormat="false" ht="15.75" hidden="false" customHeight="true" outlineLevel="0" collapsed="false"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customFormat="false" ht="15.75" hidden="false" customHeight="true" outlineLevel="0" collapsed="false"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customFormat="false" ht="15.75" hidden="false" customHeight="true" outlineLevel="0" collapsed="false"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customFormat="false" ht="15.75" hidden="false" customHeight="true" outlineLevel="0" collapsed="false"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customFormat="false" ht="15.75" hidden="false" customHeight="true" outlineLevel="0" collapsed="false"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customFormat="false" ht="15.75" hidden="false" customHeight="true" outlineLevel="0" collapsed="false"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customFormat="false" ht="15.75" hidden="false" customHeight="true" outlineLevel="0" collapsed="false"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customFormat="false" ht="15.75" hidden="false" customHeight="true" outlineLevel="0" collapsed="false"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customFormat="false" ht="15.75" hidden="false" customHeight="true" outlineLevel="0" collapsed="false"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customFormat="false" ht="15.75" hidden="false" customHeight="true" outlineLevel="0" collapsed="false"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customFormat="false" ht="15.75" hidden="false" customHeight="true" outlineLevel="0" collapsed="false"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customFormat="false" ht="15.75" hidden="false" customHeight="true" outlineLevel="0" collapsed="false"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customFormat="false" ht="15.75" hidden="false" customHeight="true" outlineLevel="0" collapsed="false"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customFormat="false" ht="15.75" hidden="false" customHeight="true" outlineLevel="0" collapsed="false"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customFormat="false" ht="15.75" hidden="false" customHeight="true" outlineLevel="0" collapsed="false"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customFormat="false" ht="15.75" hidden="false" customHeight="true" outlineLevel="0" collapsed="false"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customFormat="false" ht="15.75" hidden="false" customHeight="true" outlineLevel="0" collapsed="false"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customFormat="false" ht="15.75" hidden="false" customHeight="true" outlineLevel="0" collapsed="false"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customFormat="false" ht="15.75" hidden="false" customHeight="true" outlineLevel="0" collapsed="false"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customFormat="false" ht="15.75" hidden="false" customHeight="true" outlineLevel="0" collapsed="false"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customFormat="false" ht="15.75" hidden="false" customHeight="true" outlineLevel="0" collapsed="false"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customFormat="false" ht="15.75" hidden="false" customHeight="true" outlineLevel="0" collapsed="false"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customFormat="false" ht="15.75" hidden="false" customHeight="true" outlineLevel="0" collapsed="false"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customFormat="false" ht="15.75" hidden="false" customHeight="true" outlineLevel="0" collapsed="false"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customFormat="false" ht="15.75" hidden="false" customHeight="true" outlineLevel="0" collapsed="false"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customFormat="false" ht="15.75" hidden="false" customHeight="true" outlineLevel="0" collapsed="false"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customFormat="false" ht="15.75" hidden="false" customHeight="true" outlineLevel="0" collapsed="false"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customFormat="false" ht="15.75" hidden="false" customHeight="true" outlineLevel="0" collapsed="false"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customFormat="false" ht="15.75" hidden="false" customHeight="true" outlineLevel="0" collapsed="false"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customFormat="false" ht="15.75" hidden="false" customHeight="true" outlineLevel="0" collapsed="false"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customFormat="false" ht="15.75" hidden="false" customHeight="true" outlineLevel="0" collapsed="false"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customFormat="false" ht="15.75" hidden="false" customHeight="true" outlineLevel="0" collapsed="false"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customFormat="false" ht="15.75" hidden="false" customHeight="true" outlineLevel="0" collapsed="false"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customFormat="false" ht="15.75" hidden="false" customHeight="true" outlineLevel="0" collapsed="false"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customFormat="false" ht="15.75" hidden="false" customHeight="true" outlineLevel="0" collapsed="false"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customFormat="false" ht="15.75" hidden="false" customHeight="true" outlineLevel="0" collapsed="false"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customFormat="false" ht="15.75" hidden="false" customHeight="true" outlineLevel="0" collapsed="false"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customFormat="false" ht="15.75" hidden="false" customHeight="true" outlineLevel="0" collapsed="false"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customFormat="false" ht="15.75" hidden="false" customHeight="true" outlineLevel="0" collapsed="false"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customFormat="false" ht="15.75" hidden="false" customHeight="true" outlineLevel="0" collapsed="false"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customFormat="false" ht="15.75" hidden="false" customHeight="true" outlineLevel="0" collapsed="false"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customFormat="false" ht="15.75" hidden="false" customHeight="true" outlineLevel="0" collapsed="false"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customFormat="false" ht="15.75" hidden="false" customHeight="true" outlineLevel="0" collapsed="false"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customFormat="false" ht="15.75" hidden="false" customHeight="true" outlineLevel="0" collapsed="false"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customFormat="false" ht="15.75" hidden="false" customHeight="true" outlineLevel="0" collapsed="false"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customFormat="false" ht="15.75" hidden="false" customHeight="true" outlineLevel="0" collapsed="false"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customFormat="false" ht="15.75" hidden="false" customHeight="true" outlineLevel="0" collapsed="false"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customFormat="false" ht="15.75" hidden="false" customHeight="true" outlineLevel="0" collapsed="false"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customFormat="false" ht="15.75" hidden="false" customHeight="true" outlineLevel="0" collapsed="false"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customFormat="false" ht="15.75" hidden="false" customHeight="true" outlineLevel="0" collapsed="false"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customFormat="false" ht="15.75" hidden="false" customHeight="true" outlineLevel="0" collapsed="false"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customFormat="false" ht="15.75" hidden="false" customHeight="true" outlineLevel="0" collapsed="false"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customFormat="false" ht="15.75" hidden="false" customHeight="true" outlineLevel="0" collapsed="false"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customFormat="false" ht="15.75" hidden="false" customHeight="true" outlineLevel="0" collapsed="false"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customFormat="false" ht="15.75" hidden="false" customHeight="true" outlineLevel="0" collapsed="false"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customFormat="false" ht="15.75" hidden="false" customHeight="true" outlineLevel="0" collapsed="false"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customFormat="false" ht="15.75" hidden="false" customHeight="true" outlineLevel="0" collapsed="false"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customFormat="false" ht="15.75" hidden="false" customHeight="true" outlineLevel="0" collapsed="false"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customFormat="false" ht="15.75" hidden="false" customHeight="true" outlineLevel="0" collapsed="false"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customFormat="false" ht="15.75" hidden="false" customHeight="true" outlineLevel="0" collapsed="false"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customFormat="false" ht="15.75" hidden="false" customHeight="true" outlineLevel="0" collapsed="false"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customFormat="false" ht="15.75" hidden="false" customHeight="true" outlineLevel="0" collapsed="false"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customFormat="false" ht="15.75" hidden="false" customHeight="true" outlineLevel="0" collapsed="false"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customFormat="false" ht="15.75" hidden="false" customHeight="true" outlineLevel="0" collapsed="false"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customFormat="false" ht="15.75" hidden="false" customHeight="true" outlineLevel="0" collapsed="false"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customFormat="false" ht="15.75" hidden="false" customHeight="true" outlineLevel="0" collapsed="false"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customFormat="false" ht="15.75" hidden="false" customHeight="true" outlineLevel="0" collapsed="false"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customFormat="false" ht="15.75" hidden="false" customHeight="true" outlineLevel="0" collapsed="false"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customFormat="false" ht="15.75" hidden="false" customHeight="true" outlineLevel="0" collapsed="false"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customFormat="false" ht="15.75" hidden="false" customHeight="true" outlineLevel="0" collapsed="false"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customFormat="false" ht="15.75" hidden="false" customHeight="true" outlineLevel="0" collapsed="false"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customFormat="false" ht="15.75" hidden="false" customHeight="true" outlineLevel="0" collapsed="false"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customFormat="false" ht="15.75" hidden="false" customHeight="true" outlineLevel="0" collapsed="false"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customFormat="false" ht="15.75" hidden="false" customHeight="true" outlineLevel="0" collapsed="false"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customFormat="false" ht="15.75" hidden="false" customHeight="true" outlineLevel="0" collapsed="false"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customFormat="false" ht="15.75" hidden="false" customHeight="true" outlineLevel="0" collapsed="false"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customFormat="false" ht="15.75" hidden="false" customHeight="true" outlineLevel="0" collapsed="false"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customFormat="false" ht="15.75" hidden="false" customHeight="true" outlineLevel="0" collapsed="false"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customFormat="false" ht="15.75" hidden="false" customHeight="true" outlineLevel="0" collapsed="false"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customFormat="false" ht="15.75" hidden="false" customHeight="true" outlineLevel="0" collapsed="false"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customFormat="false" ht="15.75" hidden="false" customHeight="true" outlineLevel="0" collapsed="false"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customFormat="false" ht="15.75" hidden="false" customHeight="true" outlineLevel="0" collapsed="false"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customFormat="false" ht="15.75" hidden="false" customHeight="true" outlineLevel="0" collapsed="false"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customFormat="false" ht="15.75" hidden="false" customHeight="true" outlineLevel="0" collapsed="false"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customFormat="false" ht="15.75" hidden="false" customHeight="true" outlineLevel="0" collapsed="false"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customFormat="false" ht="15.75" hidden="false" customHeight="true" outlineLevel="0" collapsed="false"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customFormat="false" ht="15.75" hidden="false" customHeight="true" outlineLevel="0" collapsed="false"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customFormat="false" ht="15.75" hidden="false" customHeight="true" outlineLevel="0" collapsed="false"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customFormat="false" ht="15.75" hidden="false" customHeight="true" outlineLevel="0" collapsed="false"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customFormat="false" ht="15.75" hidden="false" customHeight="true" outlineLevel="0" collapsed="false"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customFormat="false" ht="15.75" hidden="false" customHeight="true" outlineLevel="0" collapsed="false"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customFormat="false" ht="15.75" hidden="false" customHeight="true" outlineLevel="0" collapsed="false"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customFormat="false" ht="15.75" hidden="false" customHeight="true" outlineLevel="0" collapsed="false"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customFormat="false" ht="15.75" hidden="false" customHeight="true" outlineLevel="0" collapsed="false"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customFormat="false" ht="15.75" hidden="false" customHeight="true" outlineLevel="0" collapsed="false"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customFormat="false" ht="15.75" hidden="false" customHeight="true" outlineLevel="0" collapsed="false"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customFormat="false" ht="15.75" hidden="false" customHeight="true" outlineLevel="0" collapsed="false"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customFormat="false" ht="15.75" hidden="false" customHeight="true" outlineLevel="0" collapsed="false"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customFormat="false" ht="15.75" hidden="false" customHeight="true" outlineLevel="0" collapsed="false"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customFormat="false" ht="15.75" hidden="false" customHeight="true" outlineLevel="0" collapsed="false"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customFormat="false" ht="15.75" hidden="false" customHeight="true" outlineLevel="0" collapsed="false"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customFormat="false" ht="15.75" hidden="false" customHeight="true" outlineLevel="0" collapsed="false"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customFormat="false" ht="15.75" hidden="false" customHeight="true" outlineLevel="0" collapsed="false"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customFormat="false" ht="15.75" hidden="false" customHeight="true" outlineLevel="0" collapsed="false"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customFormat="false" ht="15.75" hidden="false" customHeight="true" outlineLevel="0" collapsed="false"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customFormat="false" ht="15.75" hidden="false" customHeight="true" outlineLevel="0" collapsed="false"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customFormat="false" ht="15.75" hidden="false" customHeight="true" outlineLevel="0" collapsed="false"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customFormat="false" ht="15.75" hidden="false" customHeight="true" outlineLevel="0" collapsed="false"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customFormat="false" ht="15.75" hidden="false" customHeight="true" outlineLevel="0" collapsed="false"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customFormat="false" ht="15.75" hidden="false" customHeight="true" outlineLevel="0" collapsed="false"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customFormat="false" ht="15.75" hidden="false" customHeight="true" outlineLevel="0" collapsed="false"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customFormat="false" ht="15.75" hidden="false" customHeight="true" outlineLevel="0" collapsed="false"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customFormat="false" ht="15.75" hidden="false" customHeight="true" outlineLevel="0" collapsed="false"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customFormat="false" ht="15.75" hidden="false" customHeight="true" outlineLevel="0" collapsed="false"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customFormat="false" ht="15.75" hidden="false" customHeight="true" outlineLevel="0" collapsed="false"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customFormat="false" ht="15.75" hidden="false" customHeight="true" outlineLevel="0" collapsed="false"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customFormat="false" ht="15.75" hidden="false" customHeight="true" outlineLevel="0" collapsed="false"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customFormat="false" ht="15.75" hidden="false" customHeight="true" outlineLevel="0" collapsed="false"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customFormat="false" ht="15.75" hidden="false" customHeight="true" outlineLevel="0" collapsed="false"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customFormat="false" ht="15.75" hidden="false" customHeight="true" outlineLevel="0" collapsed="false"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customFormat="false" ht="15.75" hidden="false" customHeight="true" outlineLevel="0" collapsed="false"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customFormat="false" ht="15.75" hidden="false" customHeight="true" outlineLevel="0" collapsed="false"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customFormat="false" ht="15.75" hidden="false" customHeight="true" outlineLevel="0" collapsed="false"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customFormat="false" ht="15.75" hidden="false" customHeight="true" outlineLevel="0" collapsed="false"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customFormat="false" ht="15.75" hidden="false" customHeight="true" outlineLevel="0" collapsed="false"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customFormat="false" ht="15.75" hidden="false" customHeight="true" outlineLevel="0" collapsed="false"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customFormat="false" ht="15.75" hidden="false" customHeight="true" outlineLevel="0" collapsed="false"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customFormat="false" ht="15.75" hidden="false" customHeight="true" outlineLevel="0" collapsed="false"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customFormat="false" ht="15.75" hidden="false" customHeight="true" outlineLevel="0" collapsed="false"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customFormat="false" ht="15.75" hidden="false" customHeight="true" outlineLevel="0" collapsed="false"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customFormat="false" ht="15.75" hidden="false" customHeight="true" outlineLevel="0" collapsed="false"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customFormat="false" ht="15.75" hidden="false" customHeight="true" outlineLevel="0" collapsed="false"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customFormat="false" ht="15.75" hidden="false" customHeight="true" outlineLevel="0" collapsed="false"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customFormat="false" ht="15.75" hidden="false" customHeight="true" outlineLevel="0" collapsed="false"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customFormat="false" ht="15.75" hidden="false" customHeight="true" outlineLevel="0" collapsed="false"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customFormat="false" ht="15.75" hidden="false" customHeight="true" outlineLevel="0" collapsed="false"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customFormat="false" ht="15.75" hidden="false" customHeight="true" outlineLevel="0" collapsed="false"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customFormat="false" ht="15.75" hidden="false" customHeight="true" outlineLevel="0" collapsed="false"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customFormat="false" ht="15.75" hidden="false" customHeight="true" outlineLevel="0" collapsed="false"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customFormat="false" ht="15.75" hidden="false" customHeight="true" outlineLevel="0" collapsed="false"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customFormat="false" ht="15.75" hidden="false" customHeight="true" outlineLevel="0" collapsed="false"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customFormat="false" ht="15.75" hidden="false" customHeight="true" outlineLevel="0" collapsed="false"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customFormat="false" ht="15.75" hidden="false" customHeight="true" outlineLevel="0" collapsed="false"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customFormat="false" ht="15.75" hidden="false" customHeight="true" outlineLevel="0" collapsed="false"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customFormat="false" ht="15.75" hidden="false" customHeight="true" outlineLevel="0" collapsed="false"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customFormat="false" ht="15.75" hidden="false" customHeight="true" outlineLevel="0" collapsed="false"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customFormat="false" ht="15.75" hidden="false" customHeight="true" outlineLevel="0" collapsed="false"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customFormat="false" ht="15.75" hidden="false" customHeight="true" outlineLevel="0" collapsed="false"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customFormat="false" ht="15.75" hidden="false" customHeight="true" outlineLevel="0" collapsed="false"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customFormat="false" ht="15.75" hidden="false" customHeight="true" outlineLevel="0" collapsed="false"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customFormat="false" ht="15.75" hidden="false" customHeight="true" outlineLevel="0" collapsed="false"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customFormat="false" ht="15.75" hidden="false" customHeight="true" outlineLevel="0" collapsed="false"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customFormat="false" ht="15.75" hidden="false" customHeight="true" outlineLevel="0" collapsed="false"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customFormat="false" ht="15.75" hidden="false" customHeight="true" outlineLevel="0" collapsed="false"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customFormat="false" ht="15.75" hidden="false" customHeight="true" outlineLevel="0" collapsed="false"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customFormat="false" ht="15.75" hidden="false" customHeight="true" outlineLevel="0" collapsed="false"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customFormat="false" ht="15.75" hidden="false" customHeight="true" outlineLevel="0" collapsed="false"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customFormat="false" ht="15.75" hidden="false" customHeight="true" outlineLevel="0" collapsed="false"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customFormat="false" ht="15.75" hidden="false" customHeight="true" outlineLevel="0" collapsed="false"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customFormat="false" ht="15.75" hidden="false" customHeight="true" outlineLevel="0" collapsed="false"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customFormat="false" ht="15.75" hidden="false" customHeight="true" outlineLevel="0" collapsed="false"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customFormat="false" ht="15.75" hidden="false" customHeight="true" outlineLevel="0" collapsed="false"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customFormat="false" ht="15.75" hidden="false" customHeight="true" outlineLevel="0" collapsed="false"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customFormat="false" ht="15.75" hidden="false" customHeight="true" outlineLevel="0" collapsed="false"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customFormat="false" ht="15.75" hidden="false" customHeight="true" outlineLevel="0" collapsed="false"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customFormat="false" ht="15.75" hidden="false" customHeight="true" outlineLevel="0" collapsed="false"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customFormat="false" ht="15.75" hidden="false" customHeight="true" outlineLevel="0" collapsed="false"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customFormat="false" ht="15.75" hidden="false" customHeight="true" outlineLevel="0" collapsed="false"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customFormat="false" ht="15.75" hidden="false" customHeight="true" outlineLevel="0" collapsed="false"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customFormat="false" ht="15.75" hidden="false" customHeight="true" outlineLevel="0" collapsed="false"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customFormat="false" ht="15.75" hidden="false" customHeight="true" outlineLevel="0" collapsed="false"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customFormat="false" ht="15.75" hidden="false" customHeight="true" outlineLevel="0" collapsed="false"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customFormat="false" ht="15.75" hidden="false" customHeight="true" outlineLevel="0" collapsed="false"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customFormat="false" ht="15.75" hidden="false" customHeight="true" outlineLevel="0" collapsed="false"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customFormat="false" ht="15.75" hidden="false" customHeight="true" outlineLevel="0" collapsed="false"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customFormat="false" ht="15.75" hidden="false" customHeight="true" outlineLevel="0" collapsed="false"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customFormat="false" ht="15.75" hidden="false" customHeight="true" outlineLevel="0" collapsed="false"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customFormat="false" ht="15.75" hidden="false" customHeight="true" outlineLevel="0" collapsed="false"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customFormat="false" ht="15.75" hidden="false" customHeight="true" outlineLevel="0" collapsed="false"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customFormat="false" ht="15.75" hidden="false" customHeight="true" outlineLevel="0" collapsed="false"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customFormat="false" ht="15.75" hidden="false" customHeight="true" outlineLevel="0" collapsed="false"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customFormat="false" ht="15.75" hidden="false" customHeight="true" outlineLevel="0" collapsed="false"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customFormat="false" ht="15.75" hidden="false" customHeight="true" outlineLevel="0" collapsed="false"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customFormat="false" ht="15.75" hidden="false" customHeight="true" outlineLevel="0" collapsed="false"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customFormat="false" ht="15.75" hidden="false" customHeight="true" outlineLevel="0" collapsed="false"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customFormat="false" ht="15.75" hidden="false" customHeight="true" outlineLevel="0" collapsed="false"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customFormat="false" ht="15.75" hidden="false" customHeight="true" outlineLevel="0" collapsed="false"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customFormat="false" ht="15.75" hidden="false" customHeight="true" outlineLevel="0" collapsed="false"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customFormat="false" ht="15.75" hidden="false" customHeight="true" outlineLevel="0" collapsed="false"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customFormat="false" ht="15.75" hidden="false" customHeight="true" outlineLevel="0" collapsed="false"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customFormat="false" ht="15.75" hidden="false" customHeight="true" outlineLevel="0" collapsed="false"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customFormat="false" ht="15.75" hidden="false" customHeight="true" outlineLevel="0" collapsed="false"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customFormat="false" ht="15.75" hidden="false" customHeight="true" outlineLevel="0" collapsed="false"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customFormat="false" ht="15.75" hidden="false" customHeight="true" outlineLevel="0" collapsed="false"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customFormat="false" ht="15.75" hidden="false" customHeight="true" outlineLevel="0" collapsed="false"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customFormat="false" ht="15.75" hidden="false" customHeight="true" outlineLevel="0" collapsed="false"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customFormat="false" ht="15.75" hidden="false" customHeight="true" outlineLevel="0" collapsed="false"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customFormat="false" ht="15.75" hidden="false" customHeight="true" outlineLevel="0" collapsed="false"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customFormat="false" ht="15.75" hidden="false" customHeight="true" outlineLevel="0" collapsed="false"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customFormat="false" ht="15.75" hidden="false" customHeight="true" outlineLevel="0" collapsed="false"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customFormat="false" ht="15.75" hidden="false" customHeight="true" outlineLevel="0" collapsed="false"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customFormat="false" ht="15.75" hidden="false" customHeight="true" outlineLevel="0" collapsed="false"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customFormat="false" ht="15.75" hidden="false" customHeight="true" outlineLevel="0" collapsed="false"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customFormat="false" ht="15.75" hidden="false" customHeight="true" outlineLevel="0" collapsed="false"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customFormat="false" ht="15.75" hidden="false" customHeight="true" outlineLevel="0" collapsed="false"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customFormat="false" ht="15.75" hidden="false" customHeight="true" outlineLevel="0" collapsed="false"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customFormat="false" ht="15.75" hidden="false" customHeight="true" outlineLevel="0" collapsed="false"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customFormat="false" ht="15.75" hidden="false" customHeight="true" outlineLevel="0" collapsed="false"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customFormat="false" ht="15.75" hidden="false" customHeight="true" outlineLevel="0" collapsed="false"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customFormat="false" ht="15.75" hidden="false" customHeight="true" outlineLevel="0" collapsed="false"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customFormat="false" ht="15.75" hidden="false" customHeight="true" outlineLevel="0" collapsed="false"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customFormat="false" ht="15.75" hidden="false" customHeight="true" outlineLevel="0" collapsed="false"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customFormat="false" ht="15.75" hidden="false" customHeight="true" outlineLevel="0" collapsed="false"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customFormat="false" ht="15.75" hidden="false" customHeight="true" outlineLevel="0" collapsed="false"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customFormat="false" ht="15.75" hidden="false" customHeight="true" outlineLevel="0" collapsed="false"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customFormat="false" ht="15.75" hidden="false" customHeight="true" outlineLevel="0" collapsed="false"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customFormat="false" ht="15.75" hidden="false" customHeight="true" outlineLevel="0" collapsed="false"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customFormat="false" ht="15.75" hidden="false" customHeight="true" outlineLevel="0" collapsed="false"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customFormat="false" ht="15.75" hidden="false" customHeight="true" outlineLevel="0" collapsed="false"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customFormat="false" ht="15.75" hidden="false" customHeight="true" outlineLevel="0" collapsed="false"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customFormat="false" ht="15.75" hidden="false" customHeight="true" outlineLevel="0" collapsed="false"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customFormat="false" ht="15.75" hidden="false" customHeight="true" outlineLevel="0" collapsed="false"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customFormat="false" ht="15.75" hidden="false" customHeight="true" outlineLevel="0" collapsed="false"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customFormat="false" ht="15.75" hidden="false" customHeight="true" outlineLevel="0" collapsed="false"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customFormat="false" ht="15.75" hidden="false" customHeight="true" outlineLevel="0" collapsed="false"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customFormat="false" ht="15.75" hidden="false" customHeight="true" outlineLevel="0" collapsed="false"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customFormat="false" ht="15.75" hidden="false" customHeight="true" outlineLevel="0" collapsed="false"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customFormat="false" ht="15.75" hidden="false" customHeight="true" outlineLevel="0" collapsed="false"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customFormat="false" ht="15.75" hidden="false" customHeight="true" outlineLevel="0" collapsed="false"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customFormat="false" ht="15.75" hidden="false" customHeight="true" outlineLevel="0" collapsed="false"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customFormat="false" ht="15.75" hidden="false" customHeight="true" outlineLevel="0" collapsed="false"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customFormat="false" ht="15.75" hidden="false" customHeight="true" outlineLevel="0" collapsed="false"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customFormat="false" ht="15.75" hidden="false" customHeight="true" outlineLevel="0" collapsed="false"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customFormat="false" ht="15.75" hidden="false" customHeight="true" outlineLevel="0" collapsed="false"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customFormat="false" ht="15.75" hidden="false" customHeight="true" outlineLevel="0" collapsed="false"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customFormat="false" ht="15.75" hidden="false" customHeight="true" outlineLevel="0" collapsed="false"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customFormat="false" ht="15.75" hidden="false" customHeight="true" outlineLevel="0" collapsed="false"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customFormat="false" ht="15.75" hidden="false" customHeight="true" outlineLevel="0" collapsed="false"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customFormat="false" ht="15.75" hidden="false" customHeight="true" outlineLevel="0" collapsed="false"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customFormat="false" ht="15.75" hidden="false" customHeight="true" outlineLevel="0" collapsed="false"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customFormat="false" ht="15.75" hidden="false" customHeight="true" outlineLevel="0" collapsed="false"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customFormat="false" ht="15.75" hidden="false" customHeight="true" outlineLevel="0" collapsed="false"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customFormat="false" ht="15.75" hidden="false" customHeight="true" outlineLevel="0" collapsed="false"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customFormat="false" ht="15.75" hidden="false" customHeight="true" outlineLevel="0" collapsed="false"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customFormat="false" ht="15.75" hidden="false" customHeight="true" outlineLevel="0" collapsed="false"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customFormat="false" ht="15.75" hidden="false" customHeight="true" outlineLevel="0" collapsed="false"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customFormat="false" ht="15.75" hidden="false" customHeight="true" outlineLevel="0" collapsed="false"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customFormat="false" ht="15.75" hidden="false" customHeight="true" outlineLevel="0" collapsed="false"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customFormat="false" ht="15.75" hidden="false" customHeight="true" outlineLevel="0" collapsed="false"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customFormat="false" ht="15.75" hidden="false" customHeight="true" outlineLevel="0" collapsed="false"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customFormat="false" ht="15.75" hidden="false" customHeight="true" outlineLevel="0" collapsed="false"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customFormat="false" ht="15.75" hidden="false" customHeight="true" outlineLevel="0" collapsed="false"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customFormat="false" ht="15.75" hidden="false" customHeight="true" outlineLevel="0" collapsed="false"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customFormat="false" ht="15.75" hidden="false" customHeight="true" outlineLevel="0" collapsed="false"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customFormat="false" ht="15.75" hidden="false" customHeight="true" outlineLevel="0" collapsed="false"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customFormat="false" ht="15.75" hidden="false" customHeight="true" outlineLevel="0" collapsed="false"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customFormat="false" ht="15.75" hidden="false" customHeight="true" outlineLevel="0" collapsed="false"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customFormat="false" ht="15.75" hidden="false" customHeight="true" outlineLevel="0" collapsed="false"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customFormat="false" ht="15.75" hidden="false" customHeight="true" outlineLevel="0" collapsed="false"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customFormat="false" ht="15.75" hidden="false" customHeight="true" outlineLevel="0" collapsed="false"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customFormat="false" ht="15.75" hidden="false" customHeight="true" outlineLevel="0" collapsed="false"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customFormat="false" ht="15.75" hidden="false" customHeight="true" outlineLevel="0" collapsed="false"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customFormat="false" ht="15.75" hidden="false" customHeight="true" outlineLevel="0" collapsed="false"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customFormat="false" ht="15.75" hidden="false" customHeight="true" outlineLevel="0" collapsed="false"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customFormat="false" ht="15.75" hidden="false" customHeight="true" outlineLevel="0" collapsed="false"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customFormat="false" ht="15.75" hidden="false" customHeight="true" outlineLevel="0" collapsed="false"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customFormat="false" ht="15.75" hidden="false" customHeight="true" outlineLevel="0" collapsed="false"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customFormat="false" ht="15.75" hidden="false" customHeight="true" outlineLevel="0" collapsed="false"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customFormat="false" ht="15.75" hidden="false" customHeight="true" outlineLevel="0" collapsed="false"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customFormat="false" ht="15.75" hidden="false" customHeight="true" outlineLevel="0" collapsed="false"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customFormat="false" ht="15.75" hidden="false" customHeight="true" outlineLevel="0" collapsed="false"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customFormat="false" ht="15.75" hidden="false" customHeight="true" outlineLevel="0" collapsed="false"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customFormat="false" ht="15.75" hidden="false" customHeight="true" outlineLevel="0" collapsed="false"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customFormat="false" ht="15.75" hidden="false" customHeight="true" outlineLevel="0" collapsed="false"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customFormat="false" ht="15.75" hidden="false" customHeight="true" outlineLevel="0" collapsed="false"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customFormat="false" ht="15.75" hidden="false" customHeight="true" outlineLevel="0" collapsed="false"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customFormat="false" ht="15.75" hidden="false" customHeight="true" outlineLevel="0" collapsed="false"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customFormat="false" ht="15.75" hidden="false" customHeight="true" outlineLevel="0" collapsed="false"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customFormat="false" ht="15.75" hidden="false" customHeight="true" outlineLevel="0" collapsed="false"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customFormat="false" ht="15.75" hidden="false" customHeight="true" outlineLevel="0" collapsed="false"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customFormat="false" ht="15.75" hidden="false" customHeight="true" outlineLevel="0" collapsed="false"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customFormat="false" ht="15.75" hidden="false" customHeight="true" outlineLevel="0" collapsed="false"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customFormat="false" ht="15.75" hidden="false" customHeight="true" outlineLevel="0" collapsed="false"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customFormat="false" ht="15.75" hidden="false" customHeight="true" outlineLevel="0" collapsed="false"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customFormat="false" ht="15.75" hidden="false" customHeight="true" outlineLevel="0" collapsed="false"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customFormat="false" ht="15.75" hidden="false" customHeight="true" outlineLevel="0" collapsed="false"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customFormat="false" ht="15.75" hidden="false" customHeight="true" outlineLevel="0" collapsed="false"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customFormat="false" ht="15.75" hidden="false" customHeight="true" outlineLevel="0" collapsed="false"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customFormat="false" ht="15.75" hidden="false" customHeight="true" outlineLevel="0" collapsed="false"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customFormat="false" ht="15.75" hidden="false" customHeight="true" outlineLevel="0" collapsed="false"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customFormat="false" ht="15.75" hidden="false" customHeight="true" outlineLevel="0" collapsed="false"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customFormat="false" ht="15.75" hidden="false" customHeight="true" outlineLevel="0" collapsed="false"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customFormat="false" ht="15.75" hidden="false" customHeight="true" outlineLevel="0" collapsed="false"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customFormat="false" ht="15.75" hidden="false" customHeight="true" outlineLevel="0" collapsed="false"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customFormat="false" ht="15.75" hidden="false" customHeight="true" outlineLevel="0" collapsed="false"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customFormat="false" ht="15.75" hidden="false" customHeight="true" outlineLevel="0" collapsed="false"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customFormat="false" ht="15.75" hidden="false" customHeight="true" outlineLevel="0" collapsed="false"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customFormat="false" ht="15.75" hidden="false" customHeight="true" outlineLevel="0" collapsed="false"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customFormat="false" ht="15.75" hidden="false" customHeight="true" outlineLevel="0" collapsed="false"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customFormat="false" ht="15.75" hidden="false" customHeight="true" outlineLevel="0" collapsed="false"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customFormat="false" ht="15.75" hidden="false" customHeight="true" outlineLevel="0" collapsed="false"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customFormat="false" ht="15.75" hidden="false" customHeight="true" outlineLevel="0" collapsed="false"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customFormat="false" ht="15.75" hidden="false" customHeight="true" outlineLevel="0" collapsed="false"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customFormat="false" ht="15.75" hidden="false" customHeight="true" outlineLevel="0" collapsed="false"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customFormat="false" ht="15.75" hidden="false" customHeight="true" outlineLevel="0" collapsed="false"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customFormat="false" ht="15.75" hidden="false" customHeight="true" outlineLevel="0" collapsed="false"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customFormat="false" ht="15.75" hidden="false" customHeight="true" outlineLevel="0" collapsed="false"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customFormat="false" ht="15.75" hidden="false" customHeight="true" outlineLevel="0" collapsed="false"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customFormat="false" ht="15.75" hidden="false" customHeight="true" outlineLevel="0" collapsed="false"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customFormat="false" ht="15.75" hidden="false" customHeight="true" outlineLevel="0" collapsed="false"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customFormat="false" ht="15.75" hidden="false" customHeight="true" outlineLevel="0" collapsed="false"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customFormat="false" ht="15.75" hidden="false" customHeight="true" outlineLevel="0" collapsed="false"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customFormat="false" ht="15.75" hidden="false" customHeight="true" outlineLevel="0" collapsed="false"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customFormat="false" ht="15.75" hidden="false" customHeight="true" outlineLevel="0" collapsed="false"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customFormat="false" ht="15.75" hidden="false" customHeight="true" outlineLevel="0" collapsed="false"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customFormat="false" ht="15.75" hidden="false" customHeight="true" outlineLevel="0" collapsed="false"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customFormat="false" ht="15.75" hidden="false" customHeight="true" outlineLevel="0" collapsed="false"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customFormat="false" ht="15.75" hidden="false" customHeight="true" outlineLevel="0" collapsed="false"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customFormat="false" ht="15.75" hidden="false" customHeight="true" outlineLevel="0" collapsed="false"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customFormat="false" ht="15.75" hidden="false" customHeight="true" outlineLevel="0" collapsed="false"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customFormat="false" ht="15.75" hidden="false" customHeight="true" outlineLevel="0" collapsed="false"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customFormat="false" ht="15.75" hidden="false" customHeight="true" outlineLevel="0" collapsed="false"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customFormat="false" ht="15.75" hidden="false" customHeight="true" outlineLevel="0" collapsed="false"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customFormat="false" ht="15.75" hidden="false" customHeight="true" outlineLevel="0" collapsed="false"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customFormat="false" ht="15.75" hidden="false" customHeight="true" outlineLevel="0" collapsed="false"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customFormat="false" ht="15.75" hidden="false" customHeight="true" outlineLevel="0" collapsed="false"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customFormat="false" ht="15.75" hidden="false" customHeight="true" outlineLevel="0" collapsed="false"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customFormat="false" ht="15.75" hidden="false" customHeight="true" outlineLevel="0" collapsed="false"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customFormat="false" ht="15.75" hidden="false" customHeight="true" outlineLevel="0" collapsed="false"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customFormat="false" ht="15.75" hidden="false" customHeight="true" outlineLevel="0" collapsed="false"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customFormat="false" ht="15.75" hidden="false" customHeight="true" outlineLevel="0" collapsed="false"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customFormat="false" ht="15.75" hidden="false" customHeight="true" outlineLevel="0" collapsed="false"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customFormat="false" ht="15.75" hidden="false" customHeight="true" outlineLevel="0" collapsed="false"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customFormat="false" ht="15.75" hidden="false" customHeight="true" outlineLevel="0" collapsed="false"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customFormat="false" ht="15.75" hidden="false" customHeight="true" outlineLevel="0" collapsed="false"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customFormat="false" ht="15.75" hidden="false" customHeight="true" outlineLevel="0" collapsed="false"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customFormat="false" ht="15.75" hidden="false" customHeight="true" outlineLevel="0" collapsed="false"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customFormat="false" ht="15.75" hidden="false" customHeight="true" outlineLevel="0" collapsed="false"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customFormat="false" ht="15.75" hidden="false" customHeight="true" outlineLevel="0" collapsed="false"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customFormat="false" ht="15.75" hidden="false" customHeight="true" outlineLevel="0" collapsed="false"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customFormat="false" ht="15.75" hidden="false" customHeight="true" outlineLevel="0" collapsed="false"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customFormat="false" ht="15.75" hidden="false" customHeight="true" outlineLevel="0" collapsed="false"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customFormat="false" ht="15.75" hidden="false" customHeight="true" outlineLevel="0" collapsed="false"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customFormat="false" ht="15.75" hidden="false" customHeight="true" outlineLevel="0" collapsed="false"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customFormat="false" ht="15.75" hidden="false" customHeight="true" outlineLevel="0" collapsed="false"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customFormat="false" ht="15.75" hidden="false" customHeight="true" outlineLevel="0" collapsed="false"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customFormat="false" ht="15.75" hidden="false" customHeight="true" outlineLevel="0" collapsed="false"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customFormat="false" ht="15.75" hidden="false" customHeight="true" outlineLevel="0" collapsed="false"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customFormat="false" ht="15.75" hidden="false" customHeight="true" outlineLevel="0" collapsed="false"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customFormat="false" ht="15.75" hidden="false" customHeight="true" outlineLevel="0" collapsed="false"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customFormat="false" ht="15.75" hidden="false" customHeight="true" outlineLevel="0" collapsed="false"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customFormat="false" ht="15.75" hidden="false" customHeight="true" outlineLevel="0" collapsed="false"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customFormat="false" ht="15.75" hidden="false" customHeight="true" outlineLevel="0" collapsed="false"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customFormat="false" ht="15.75" hidden="false" customHeight="true" outlineLevel="0" collapsed="false"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customFormat="false" ht="15.75" hidden="false" customHeight="true" outlineLevel="0" collapsed="false"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customFormat="false" ht="15.75" hidden="false" customHeight="true" outlineLevel="0" collapsed="false"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customFormat="false" ht="15.75" hidden="false" customHeight="true" outlineLevel="0" collapsed="false"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customFormat="false" ht="15.75" hidden="false" customHeight="true" outlineLevel="0" collapsed="false"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customFormat="false" ht="15.75" hidden="false" customHeight="true" outlineLevel="0" collapsed="false"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customFormat="false" ht="15.75" hidden="false" customHeight="true" outlineLevel="0" collapsed="false"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customFormat="false" ht="15.75" hidden="false" customHeight="true" outlineLevel="0" collapsed="false"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customFormat="false" ht="15.75" hidden="false" customHeight="true" outlineLevel="0" collapsed="false"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customFormat="false" ht="15.75" hidden="false" customHeight="true" outlineLevel="0" collapsed="false"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customFormat="false" ht="15.75" hidden="false" customHeight="true" outlineLevel="0" collapsed="false"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customFormat="false" ht="15.75" hidden="false" customHeight="true" outlineLevel="0" collapsed="false"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customFormat="false" ht="15.75" hidden="false" customHeight="true" outlineLevel="0" collapsed="false"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customFormat="false" ht="15.75" hidden="false" customHeight="true" outlineLevel="0" collapsed="false"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customFormat="false" ht="15.75" hidden="false" customHeight="true" outlineLevel="0" collapsed="false"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customFormat="false" ht="15.75" hidden="false" customHeight="true" outlineLevel="0" collapsed="false"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customFormat="false" ht="15.75" hidden="false" customHeight="true" outlineLevel="0" collapsed="false"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customFormat="false" ht="15.75" hidden="false" customHeight="true" outlineLevel="0" collapsed="false"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customFormat="false" ht="15.75" hidden="false" customHeight="true" outlineLevel="0" collapsed="false"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customFormat="false" ht="15.75" hidden="false" customHeight="true" outlineLevel="0" collapsed="false"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customFormat="false" ht="15.75" hidden="false" customHeight="true" outlineLevel="0" collapsed="false"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customFormat="false" ht="15.75" hidden="false" customHeight="true" outlineLevel="0" collapsed="false"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customFormat="false" ht="15.75" hidden="false" customHeight="true" outlineLevel="0" collapsed="false"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customFormat="false" ht="15.75" hidden="false" customHeight="true" outlineLevel="0" collapsed="false"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customFormat="false" ht="15.75" hidden="false" customHeight="true" outlineLevel="0" collapsed="false"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customFormat="false" ht="15.75" hidden="false" customHeight="true" outlineLevel="0" collapsed="false"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customFormat="false" ht="15.75" hidden="false" customHeight="true" outlineLevel="0" collapsed="false"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customFormat="false" ht="15.75" hidden="false" customHeight="true" outlineLevel="0" collapsed="false"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customFormat="false" ht="15.75" hidden="false" customHeight="true" outlineLevel="0" collapsed="false"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customFormat="false" ht="15.75" hidden="false" customHeight="true" outlineLevel="0" collapsed="false"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customFormat="false" ht="15.75" hidden="false" customHeight="true" outlineLevel="0" collapsed="false"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customFormat="false" ht="15.75" hidden="false" customHeight="true" outlineLevel="0" collapsed="false"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customFormat="false" ht="15.75" hidden="false" customHeight="true" outlineLevel="0" collapsed="false"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customFormat="false" ht="15.75" hidden="false" customHeight="true" outlineLevel="0" collapsed="false"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customFormat="false" ht="15.75" hidden="false" customHeight="true" outlineLevel="0" collapsed="false"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customFormat="false" ht="15.75" hidden="false" customHeight="true" outlineLevel="0" collapsed="false"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customFormat="false" ht="15.75" hidden="false" customHeight="true" outlineLevel="0" collapsed="false"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customFormat="false" ht="15.75" hidden="false" customHeight="true" outlineLevel="0" collapsed="false"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customFormat="false" ht="15.75" hidden="false" customHeight="true" outlineLevel="0" collapsed="false"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customFormat="false" ht="15.75" hidden="false" customHeight="true" outlineLevel="0" collapsed="false"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customFormat="false" ht="15.75" hidden="false" customHeight="true" outlineLevel="0" collapsed="false"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customFormat="false" ht="15.75" hidden="false" customHeight="true" outlineLevel="0" collapsed="false"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customFormat="false" ht="15.75" hidden="false" customHeight="true" outlineLevel="0" collapsed="false"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customFormat="false" ht="15.75" hidden="false" customHeight="true" outlineLevel="0" collapsed="false"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customFormat="false" ht="15.75" hidden="false" customHeight="true" outlineLevel="0" collapsed="false"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customFormat="false" ht="15.75" hidden="false" customHeight="true" outlineLevel="0" collapsed="false"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customFormat="false" ht="15.75" hidden="false" customHeight="true" outlineLevel="0" collapsed="false"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customFormat="false" ht="15.75" hidden="false" customHeight="true" outlineLevel="0" collapsed="false"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customFormat="false" ht="15.75" hidden="false" customHeight="true" outlineLevel="0" collapsed="false"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customFormat="false" ht="15.75" hidden="false" customHeight="true" outlineLevel="0" collapsed="false"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customFormat="false" ht="15.75" hidden="false" customHeight="true" outlineLevel="0" collapsed="false"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customFormat="false" ht="15.75" hidden="false" customHeight="true" outlineLevel="0" collapsed="false"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customFormat="false" ht="15.75" hidden="false" customHeight="true" outlineLevel="0" collapsed="false"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customFormat="false" ht="15.75" hidden="false" customHeight="true" outlineLevel="0" collapsed="false"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customFormat="false" ht="15.75" hidden="false" customHeight="true" outlineLevel="0" collapsed="false"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customFormat="false" ht="15.75" hidden="false" customHeight="true" outlineLevel="0" collapsed="false"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customFormat="false" ht="15.75" hidden="false" customHeight="true" outlineLevel="0" collapsed="false"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customFormat="false" ht="15.75" hidden="false" customHeight="true" outlineLevel="0" collapsed="false"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customFormat="false" ht="15.75" hidden="false" customHeight="true" outlineLevel="0" collapsed="false"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customFormat="false" ht="15.75" hidden="false" customHeight="true" outlineLevel="0" collapsed="false"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customFormat="false" ht="15.75" hidden="false" customHeight="true" outlineLevel="0" collapsed="false"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customFormat="false" ht="15.75" hidden="false" customHeight="true" outlineLevel="0" collapsed="false"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customFormat="false" ht="15.75" hidden="false" customHeight="true" outlineLevel="0" collapsed="false"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customFormat="false" ht="15.75" hidden="false" customHeight="true" outlineLevel="0" collapsed="false"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customFormat="false" ht="15.75" hidden="false" customHeight="true" outlineLevel="0" collapsed="false"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customFormat="false" ht="15.75" hidden="false" customHeight="true" outlineLevel="0" collapsed="false"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customFormat="false" ht="15.75" hidden="false" customHeight="true" outlineLevel="0" collapsed="false"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customFormat="false" ht="15.75" hidden="false" customHeight="true" outlineLevel="0" collapsed="false"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customFormat="false" ht="15.75" hidden="false" customHeight="true" outlineLevel="0" collapsed="false"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customFormat="false" ht="15.75" hidden="false" customHeight="true" outlineLevel="0" collapsed="false"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customFormat="false" ht="15.75" hidden="false" customHeight="true" outlineLevel="0" collapsed="false"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customFormat="false" ht="15.75" hidden="false" customHeight="true" outlineLevel="0" collapsed="false"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customFormat="false" ht="15.75" hidden="false" customHeight="true" outlineLevel="0" collapsed="false"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customFormat="false" ht="15.75" hidden="false" customHeight="true" outlineLevel="0" collapsed="false"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customFormat="false" ht="15.75" hidden="false" customHeight="true" outlineLevel="0" collapsed="false"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customFormat="false" ht="15.75" hidden="false" customHeight="true" outlineLevel="0" collapsed="false"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customFormat="false" ht="15.75" hidden="false" customHeight="true" outlineLevel="0" collapsed="false"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customFormat="false" ht="15.75" hidden="false" customHeight="true" outlineLevel="0" collapsed="false"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customFormat="false" ht="15.75" hidden="false" customHeight="true" outlineLevel="0" collapsed="false"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customFormat="false" ht="15.75" hidden="false" customHeight="true" outlineLevel="0" collapsed="false"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customFormat="false" ht="15.75" hidden="false" customHeight="true" outlineLevel="0" collapsed="false"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customFormat="false" ht="15.75" hidden="false" customHeight="true" outlineLevel="0" collapsed="false"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customFormat="false" ht="15.75" hidden="false" customHeight="true" outlineLevel="0" collapsed="false"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customFormat="false" ht="15.75" hidden="false" customHeight="true" outlineLevel="0" collapsed="false"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customFormat="false" ht="15.75" hidden="false" customHeight="true" outlineLevel="0" collapsed="false"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customFormat="false" ht="15.75" hidden="false" customHeight="true" outlineLevel="0" collapsed="false"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customFormat="false" ht="15.75" hidden="false" customHeight="true" outlineLevel="0" collapsed="false"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customFormat="false" ht="15.75" hidden="false" customHeight="true" outlineLevel="0" collapsed="false"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customFormat="false" ht="15.75" hidden="false" customHeight="true" outlineLevel="0" collapsed="false"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customFormat="false" ht="15.75" hidden="false" customHeight="true" outlineLevel="0" collapsed="false"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customFormat="false" ht="15.75" hidden="false" customHeight="true" outlineLevel="0" collapsed="false"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customFormat="false" ht="15.75" hidden="false" customHeight="true" outlineLevel="0" collapsed="false"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customFormat="false" ht="15.75" hidden="false" customHeight="true" outlineLevel="0" collapsed="false"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customFormat="false" ht="15.75" hidden="false" customHeight="true" outlineLevel="0" collapsed="false"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customFormat="false" ht="15.75" hidden="false" customHeight="true" outlineLevel="0" collapsed="false"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customFormat="false" ht="15.75" hidden="false" customHeight="true" outlineLevel="0" collapsed="false"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customFormat="false" ht="15.75" hidden="false" customHeight="true" outlineLevel="0" collapsed="false"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customFormat="false" ht="15.75" hidden="false" customHeight="true" outlineLevel="0" collapsed="false"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customFormat="false" ht="15.75" hidden="false" customHeight="true" outlineLevel="0" collapsed="false"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customFormat="false" ht="15.75" hidden="false" customHeight="true" outlineLevel="0" collapsed="false"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customFormat="false" ht="15.75" hidden="false" customHeight="true" outlineLevel="0" collapsed="false"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customFormat="false" ht="15.75" hidden="false" customHeight="true" outlineLevel="0" collapsed="false"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customFormat="false" ht="15.75" hidden="false" customHeight="true" outlineLevel="0" collapsed="false"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customFormat="false" ht="15.75" hidden="false" customHeight="true" outlineLevel="0" collapsed="false"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customFormat="false" ht="15.75" hidden="false" customHeight="true" outlineLevel="0" collapsed="false"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customFormat="false" ht="15.75" hidden="false" customHeight="true" outlineLevel="0" collapsed="false"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customFormat="false" ht="15.75" hidden="false" customHeight="true" outlineLevel="0" collapsed="false"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customFormat="false" ht="15.75" hidden="false" customHeight="true" outlineLevel="0" collapsed="false"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customFormat="false" ht="15.75" hidden="false" customHeight="true" outlineLevel="0" collapsed="false"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customFormat="false" ht="15.75" hidden="false" customHeight="true" outlineLevel="0" collapsed="false"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customFormat="false" ht="15.75" hidden="false" customHeight="true" outlineLevel="0" collapsed="false"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customFormat="false" ht="15.75" hidden="false" customHeight="true" outlineLevel="0" collapsed="false"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customFormat="false" ht="15.75" hidden="false" customHeight="true" outlineLevel="0" collapsed="false"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customFormat="false" ht="15.75" hidden="false" customHeight="true" outlineLevel="0" collapsed="false"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customFormat="false" ht="15.75" hidden="false" customHeight="true" outlineLevel="0" collapsed="false"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customFormat="false" ht="15.75" hidden="false" customHeight="true" outlineLevel="0" collapsed="false"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customFormat="false" ht="15.75" hidden="false" customHeight="true" outlineLevel="0" collapsed="false"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customFormat="false" ht="15.75" hidden="false" customHeight="true" outlineLevel="0" collapsed="false"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customFormat="false" ht="15.75" hidden="false" customHeight="true" outlineLevel="0" collapsed="false"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customFormat="false" ht="15.75" hidden="false" customHeight="true" outlineLevel="0" collapsed="false"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customFormat="false" ht="15.75" hidden="false" customHeight="true" outlineLevel="0" collapsed="false"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customFormat="false" ht="15.75" hidden="false" customHeight="true" outlineLevel="0" collapsed="false"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customFormat="false" ht="15.75" hidden="false" customHeight="true" outlineLevel="0" collapsed="false"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customFormat="false" ht="15.75" hidden="false" customHeight="true" outlineLevel="0" collapsed="false"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customFormat="false" ht="15.75" hidden="false" customHeight="true" outlineLevel="0" collapsed="false"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customFormat="false" ht="15.75" hidden="false" customHeight="true" outlineLevel="0" collapsed="false"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customFormat="false" ht="15.75" hidden="false" customHeight="true" outlineLevel="0" collapsed="false"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customFormat="false" ht="15.75" hidden="false" customHeight="true" outlineLevel="0" collapsed="false"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customFormat="false" ht="15.75" hidden="false" customHeight="true" outlineLevel="0" collapsed="false"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customFormat="false" ht="15.75" hidden="false" customHeight="true" outlineLevel="0" collapsed="false"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customFormat="false" ht="15.75" hidden="false" customHeight="true" outlineLevel="0" collapsed="false"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customFormat="false" ht="15.75" hidden="false" customHeight="true" outlineLevel="0" collapsed="false"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customFormat="false" ht="15.75" hidden="false" customHeight="true" outlineLevel="0" collapsed="false"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customFormat="false" ht="15.75" hidden="false" customHeight="true" outlineLevel="0" collapsed="false"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customFormat="false" ht="15.75" hidden="false" customHeight="true" outlineLevel="0" collapsed="false"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customFormat="false" ht="15.75" hidden="false" customHeight="true" outlineLevel="0" collapsed="false"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customFormat="false" ht="15.75" hidden="false" customHeight="true" outlineLevel="0" collapsed="false"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customFormat="false" ht="15.75" hidden="false" customHeight="true" outlineLevel="0" collapsed="false"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customFormat="false" ht="15.75" hidden="false" customHeight="true" outlineLevel="0" collapsed="false"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customFormat="false" ht="15.75" hidden="false" customHeight="true" outlineLevel="0" collapsed="false"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customFormat="false" ht="15.75" hidden="false" customHeight="true" outlineLevel="0" collapsed="false"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customFormat="false" ht="15.75" hidden="false" customHeight="true" outlineLevel="0" collapsed="false"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customFormat="false" ht="15.75" hidden="false" customHeight="true" outlineLevel="0" collapsed="false"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customFormat="false" ht="15.75" hidden="false" customHeight="true" outlineLevel="0" collapsed="false"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customFormat="false" ht="15.75" hidden="false" customHeight="true" outlineLevel="0" collapsed="false"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customFormat="false" ht="15.75" hidden="false" customHeight="true" outlineLevel="0" collapsed="false"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customFormat="false" ht="15.75" hidden="false" customHeight="true" outlineLevel="0" collapsed="false"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customFormat="false" ht="15.75" hidden="false" customHeight="true" outlineLevel="0" collapsed="false"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customFormat="false" ht="15.75" hidden="false" customHeight="true" outlineLevel="0" collapsed="false"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customFormat="false" ht="15.75" hidden="false" customHeight="true" outlineLevel="0" collapsed="false"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customFormat="false" ht="15.75" hidden="false" customHeight="true" outlineLevel="0" collapsed="false"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customFormat="false" ht="15.75" hidden="false" customHeight="true" outlineLevel="0" collapsed="false"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customFormat="false" ht="15.75" hidden="false" customHeight="true" outlineLevel="0" collapsed="false"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customFormat="false" ht="15.75" hidden="false" customHeight="true" outlineLevel="0" collapsed="false"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customFormat="false" ht="15.75" hidden="false" customHeight="true" outlineLevel="0" collapsed="false"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customFormat="false" ht="15.75" hidden="false" customHeight="true" outlineLevel="0" collapsed="false"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customFormat="false" ht="15.75" hidden="false" customHeight="true" outlineLevel="0" collapsed="false"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customFormat="false" ht="15.75" hidden="false" customHeight="true" outlineLevel="0" collapsed="false"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customFormat="false" ht="15.75" hidden="false" customHeight="true" outlineLevel="0" collapsed="false"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customFormat="false" ht="15.75" hidden="false" customHeight="true" outlineLevel="0" collapsed="false"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customFormat="false" ht="15.75" hidden="false" customHeight="true" outlineLevel="0" collapsed="false"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customFormat="false" ht="15.75" hidden="false" customHeight="true" outlineLevel="0" collapsed="false"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customFormat="false" ht="15.75" hidden="false" customHeight="true" outlineLevel="0" collapsed="false"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customFormat="false" ht="15.75" hidden="false" customHeight="true" outlineLevel="0" collapsed="false"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customFormat="false" ht="15.75" hidden="false" customHeight="true" outlineLevel="0" collapsed="false"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customFormat="false" ht="15.75" hidden="false" customHeight="true" outlineLevel="0" collapsed="false"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customFormat="false" ht="15.75" hidden="false" customHeight="true" outlineLevel="0" collapsed="false"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customFormat="false" ht="15.75" hidden="false" customHeight="true" outlineLevel="0" collapsed="false"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customFormat="false" ht="15.75" hidden="false" customHeight="true" outlineLevel="0" collapsed="false"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customFormat="false" ht="15.75" hidden="false" customHeight="true" outlineLevel="0" collapsed="false"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customFormat="false" ht="15.75" hidden="false" customHeight="true" outlineLevel="0" collapsed="false"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customFormat="false" ht="15.75" hidden="false" customHeight="true" outlineLevel="0" collapsed="false"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customFormat="false" ht="15.75" hidden="false" customHeight="true" outlineLevel="0" collapsed="false"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customFormat="false" ht="15.75" hidden="false" customHeight="true" outlineLevel="0" collapsed="false"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customFormat="false" ht="15.75" hidden="false" customHeight="true" outlineLevel="0" collapsed="false"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customFormat="false" ht="15.75" hidden="false" customHeight="true" outlineLevel="0" collapsed="false"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customFormat="false" ht="15.75" hidden="false" customHeight="true" outlineLevel="0" collapsed="false"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customFormat="false" ht="15.75" hidden="false" customHeight="true" outlineLevel="0" collapsed="false"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customFormat="false" ht="15.75" hidden="false" customHeight="true" outlineLevel="0" collapsed="false"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customFormat="false" ht="15.75" hidden="false" customHeight="true" outlineLevel="0" collapsed="false"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customFormat="false" ht="15.75" hidden="false" customHeight="true" outlineLevel="0" collapsed="false"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customFormat="false" ht="15.75" hidden="false" customHeight="true" outlineLevel="0" collapsed="false"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customFormat="false" ht="15.75" hidden="false" customHeight="true" outlineLevel="0" collapsed="false"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customFormat="false" ht="15.75" hidden="false" customHeight="true" outlineLevel="0" collapsed="false"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customFormat="false" ht="15.75" hidden="false" customHeight="true" outlineLevel="0" collapsed="false"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customFormat="false" ht="15.75" hidden="false" customHeight="true" outlineLevel="0" collapsed="false"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customFormat="false" ht="15.75" hidden="false" customHeight="true" outlineLevel="0" collapsed="false"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customFormat="false" ht="15.75" hidden="false" customHeight="true" outlineLevel="0" collapsed="false"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customFormat="false" ht="15.75" hidden="false" customHeight="true" outlineLevel="0" collapsed="false"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customFormat="false" ht="15.75" hidden="false" customHeight="true" outlineLevel="0" collapsed="false"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customFormat="false" ht="15.75" hidden="false" customHeight="true" outlineLevel="0" collapsed="false"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customFormat="false" ht="15.75" hidden="false" customHeight="true" outlineLevel="0" collapsed="false"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customFormat="false" ht="15.75" hidden="false" customHeight="true" outlineLevel="0" collapsed="false"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customFormat="false" ht="15.75" hidden="false" customHeight="true" outlineLevel="0" collapsed="false"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customFormat="false" ht="15.75" hidden="false" customHeight="true" outlineLevel="0" collapsed="false"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customFormat="false" ht="15.75" hidden="false" customHeight="true" outlineLevel="0" collapsed="false"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customFormat="false" ht="15.75" hidden="false" customHeight="true" outlineLevel="0" collapsed="false"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customFormat="false" ht="15.75" hidden="false" customHeight="true" outlineLevel="0" collapsed="false"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customFormat="false" ht="15.75" hidden="false" customHeight="true" outlineLevel="0" collapsed="false"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customFormat="false" ht="15.75" hidden="false" customHeight="true" outlineLevel="0" collapsed="false"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customFormat="false" ht="15.75" hidden="false" customHeight="true" outlineLevel="0" collapsed="false"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customFormat="false" ht="15.75" hidden="false" customHeight="true" outlineLevel="0" collapsed="false"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customFormat="false" ht="15.75" hidden="false" customHeight="true" outlineLevel="0" collapsed="false"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customFormat="false" ht="15.75" hidden="false" customHeight="true" outlineLevel="0" collapsed="false"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customFormat="false" ht="15.75" hidden="false" customHeight="true" outlineLevel="0" collapsed="false"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customFormat="false" ht="15.75" hidden="false" customHeight="true" outlineLevel="0" collapsed="false"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customFormat="false" ht="15.75" hidden="false" customHeight="true" outlineLevel="0" collapsed="false"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customFormat="false" ht="15.75" hidden="false" customHeight="true" outlineLevel="0" collapsed="false"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customFormat="false" ht="15.75" hidden="false" customHeight="true" outlineLevel="0" collapsed="false"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customFormat="false" ht="15.75" hidden="false" customHeight="true" outlineLevel="0" collapsed="false"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customFormat="false" ht="15.75" hidden="false" customHeight="true" outlineLevel="0" collapsed="false"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customFormat="false" ht="15.75" hidden="false" customHeight="true" outlineLevel="0" collapsed="false"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customFormat="false" ht="15.75" hidden="false" customHeight="true" outlineLevel="0" collapsed="false"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customFormat="false" ht="15.75" hidden="false" customHeight="true" outlineLevel="0" collapsed="false"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customFormat="false" ht="15.75" hidden="false" customHeight="true" outlineLevel="0" collapsed="false"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customFormat="false" ht="15.75" hidden="false" customHeight="true" outlineLevel="0" collapsed="false"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customFormat="false" ht="15.75" hidden="false" customHeight="true" outlineLevel="0" collapsed="false"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customFormat="false" ht="15.75" hidden="false" customHeight="true" outlineLevel="0" collapsed="false"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customFormat="false" ht="15.75" hidden="false" customHeight="true" outlineLevel="0" collapsed="false"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customFormat="false" ht="15.75" hidden="false" customHeight="true" outlineLevel="0" collapsed="false"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customFormat="false" ht="15.75" hidden="false" customHeight="true" outlineLevel="0" collapsed="false"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customFormat="false" ht="15.75" hidden="false" customHeight="true" outlineLevel="0" collapsed="false"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customFormat="false" ht="15.75" hidden="false" customHeight="true" outlineLevel="0" collapsed="false"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customFormat="false" ht="15.75" hidden="false" customHeight="true" outlineLevel="0" collapsed="false"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customFormat="false" ht="15.75" hidden="false" customHeight="true" outlineLevel="0" collapsed="false"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customFormat="false" ht="15.75" hidden="false" customHeight="true" outlineLevel="0" collapsed="false"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customFormat="false" ht="15.75" hidden="false" customHeight="true" outlineLevel="0" collapsed="false"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customFormat="false" ht="15.75" hidden="false" customHeight="true" outlineLevel="0" collapsed="false"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customFormat="false" ht="15.75" hidden="false" customHeight="true" outlineLevel="0" collapsed="false"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customFormat="false" ht="15.75" hidden="false" customHeight="true" outlineLevel="0" collapsed="false"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customFormat="false" ht="15.75" hidden="false" customHeight="true" outlineLevel="0" collapsed="false"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customFormat="false" ht="15.75" hidden="false" customHeight="true" outlineLevel="0" collapsed="false"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customFormat="false" ht="15.75" hidden="false" customHeight="true" outlineLevel="0" collapsed="false"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customFormat="false" ht="15.75" hidden="false" customHeight="true" outlineLevel="0" collapsed="false"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customFormat="false" ht="15.75" hidden="false" customHeight="true" outlineLevel="0" collapsed="false"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customFormat="false" ht="15.75" hidden="false" customHeight="true" outlineLevel="0" collapsed="false"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customFormat="false" ht="15.75" hidden="false" customHeight="true" outlineLevel="0" collapsed="false"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customFormat="false" ht="15.75" hidden="false" customHeight="true" outlineLevel="0" collapsed="false"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customFormat="false" ht="15.75" hidden="false" customHeight="true" outlineLevel="0" collapsed="false"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customFormat="false" ht="15.75" hidden="false" customHeight="true" outlineLevel="0" collapsed="false"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customFormat="false" ht="15.75" hidden="false" customHeight="true" outlineLevel="0" collapsed="false"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customFormat="false" ht="15.75" hidden="false" customHeight="true" outlineLevel="0" collapsed="false"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customFormat="false" ht="15.75" hidden="false" customHeight="true" outlineLevel="0" collapsed="false"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customFormat="false" ht="15.75" hidden="false" customHeight="true" outlineLevel="0" collapsed="false"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customFormat="false" ht="15.75" hidden="false" customHeight="true" outlineLevel="0" collapsed="false"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customFormat="false" ht="15.75" hidden="false" customHeight="true" outlineLevel="0" collapsed="false"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customFormat="false" ht="15.75" hidden="false" customHeight="true" outlineLevel="0" collapsed="false"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customFormat="false" ht="15.75" hidden="false" customHeight="true" outlineLevel="0" collapsed="false"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customFormat="false" ht="15.75" hidden="false" customHeight="true" outlineLevel="0" collapsed="false"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customFormat="false" ht="15.75" hidden="false" customHeight="true" outlineLevel="0" collapsed="false"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customFormat="false" ht="15.75" hidden="false" customHeight="true" outlineLevel="0" collapsed="false"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customFormat="false" ht="15.75" hidden="false" customHeight="true" outlineLevel="0" collapsed="false"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customFormat="false" ht="15.75" hidden="false" customHeight="true" outlineLevel="0" collapsed="false"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customFormat="false" ht="15.75" hidden="false" customHeight="true" outlineLevel="0" collapsed="false"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customFormat="false" ht="15.75" hidden="false" customHeight="true" outlineLevel="0" collapsed="false"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customFormat="false" ht="15.75" hidden="false" customHeight="true" outlineLevel="0" collapsed="false"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customFormat="false" ht="15.75" hidden="false" customHeight="true" outlineLevel="0" collapsed="false"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customFormat="false" ht="15.75" hidden="false" customHeight="true" outlineLevel="0" collapsed="false"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customFormat="false" ht="15.75" hidden="false" customHeight="true" outlineLevel="0" collapsed="false"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customFormat="false" ht="15" hidden="false" customHeight="true" outlineLevel="0" collapsed="false"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customFormat="false" ht="15" hidden="false" customHeight="true" outlineLevel="0" collapsed="false"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B7" activeCellId="0" sqref="B7"/>
    </sheetView>
  </sheetViews>
  <sheetFormatPr defaultColWidth="14.433593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16"/>
    <col collapsed="false" customWidth="true" hidden="false" outlineLevel="0" max="3" min="3" style="1" width="18"/>
    <col collapsed="false" customWidth="true" hidden="false" outlineLevel="0" max="4" min="4" style="1" width="22"/>
    <col collapsed="false" customWidth="true" hidden="false" outlineLevel="0" max="5" min="5" style="1" width="15"/>
    <col collapsed="false" customWidth="true" hidden="false" outlineLevel="0" max="6" min="6" style="1" width="40"/>
    <col collapsed="false" customWidth="true" hidden="false" outlineLevel="0" max="8" min="7" style="1" width="8.71"/>
  </cols>
  <sheetData>
    <row r="1" customFormat="false" ht="17.25" hidden="false" customHeight="true" outlineLevel="0" collapsed="false">
      <c r="A1" s="2" t="s">
        <v>194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customFormat="false" ht="15" hidden="false" customHeight="true" outlineLevel="0" collapsed="false">
      <c r="A2" s="19"/>
      <c r="F2" s="29" t="s">
        <v>195</v>
      </c>
      <c r="G2" s="30" t="n">
        <v>400</v>
      </c>
      <c r="H2" s="3" t="s">
        <v>196</v>
      </c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customFormat="false" ht="15" hidden="false" customHeight="true" outlineLevel="0" collapsed="false">
      <c r="A3" s="3" t="s">
        <v>197</v>
      </c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customFormat="false" ht="15" hidden="false" customHeight="true" outlineLevel="0" collapsed="false"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customFormat="false" ht="39" hidden="false" customHeight="true" outlineLevel="0" collapsed="false">
      <c r="A5" s="4" t="s">
        <v>28</v>
      </c>
      <c r="B5" s="4" t="s">
        <v>198</v>
      </c>
      <c r="C5" s="4" t="s">
        <v>199</v>
      </c>
      <c r="D5" s="4" t="s">
        <v>200</v>
      </c>
      <c r="E5" s="4" t="s">
        <v>201</v>
      </c>
      <c r="F5" s="4" t="s">
        <v>33</v>
      </c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customFormat="false" ht="15" hidden="false" customHeight="true" outlineLevel="0" collapsed="false">
      <c r="A6" s="31" t="n">
        <v>46273</v>
      </c>
      <c r="B6" s="32" t="n">
        <v>0</v>
      </c>
      <c r="C6" s="33" t="n">
        <f aca="false">B6*$G$2</f>
        <v>0</v>
      </c>
      <c r="D6" s="15" t="n">
        <v>6800</v>
      </c>
      <c r="E6" s="33" t="n">
        <f aca="false">C6+D6</f>
        <v>6800</v>
      </c>
      <c r="F6" s="27" t="s">
        <v>202</v>
      </c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customFormat="false" ht="15" hidden="false" customHeight="true" outlineLevel="0" collapsed="false">
      <c r="A7" s="31" t="n">
        <v>46274</v>
      </c>
      <c r="B7" s="32" t="n">
        <v>22</v>
      </c>
      <c r="C7" s="33" t="n">
        <f aca="false">B7*$G$2</f>
        <v>8800</v>
      </c>
      <c r="D7" s="15" t="n">
        <v>400</v>
      </c>
      <c r="E7" s="33" t="n">
        <f aca="false">C7+D7</f>
        <v>9200</v>
      </c>
      <c r="F7" s="27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customFormat="false" ht="15" hidden="false" customHeight="true" outlineLevel="0" collapsed="false">
      <c r="A8" s="31" t="n">
        <v>46275</v>
      </c>
      <c r="B8" s="32" t="n">
        <v>26</v>
      </c>
      <c r="C8" s="33" t="n">
        <f aca="false">B8*$G$2</f>
        <v>10400</v>
      </c>
      <c r="D8" s="15" t="n">
        <v>400</v>
      </c>
      <c r="E8" s="33" t="n">
        <f aca="false">C8+D8</f>
        <v>10800</v>
      </c>
      <c r="F8" s="27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customFormat="false" ht="15" hidden="false" customHeight="true" outlineLevel="0" collapsed="false">
      <c r="A9" s="31" t="n">
        <v>46276</v>
      </c>
      <c r="B9" s="32" t="n">
        <v>23</v>
      </c>
      <c r="C9" s="33" t="n">
        <f aca="false">B9*$G$2</f>
        <v>9200</v>
      </c>
      <c r="D9" s="15" t="n">
        <v>400</v>
      </c>
      <c r="E9" s="33" t="n">
        <f aca="false">C9+D9</f>
        <v>9600</v>
      </c>
      <c r="F9" s="27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customFormat="false" ht="15" hidden="false" customHeight="true" outlineLevel="0" collapsed="false">
      <c r="A10" s="31" t="n">
        <v>46277</v>
      </c>
      <c r="B10" s="32" t="n">
        <v>27</v>
      </c>
      <c r="C10" s="33" t="n">
        <f aca="false">B10*$G$2</f>
        <v>10800</v>
      </c>
      <c r="D10" s="15" t="n">
        <v>400</v>
      </c>
      <c r="E10" s="33" t="n">
        <f aca="false">C10+D10</f>
        <v>11200</v>
      </c>
      <c r="F10" s="27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customFormat="false" ht="15" hidden="false" customHeight="true" outlineLevel="0" collapsed="false">
      <c r="A11" s="31" t="n">
        <v>46278</v>
      </c>
      <c r="B11" s="32" t="n">
        <v>34</v>
      </c>
      <c r="C11" s="33" t="n">
        <f aca="false">B11*$G$2</f>
        <v>13600</v>
      </c>
      <c r="D11" s="15" t="n">
        <v>4850</v>
      </c>
      <c r="E11" s="33" t="n">
        <f aca="false">C11+D11</f>
        <v>18450</v>
      </c>
      <c r="F11" s="27" t="s">
        <v>203</v>
      </c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customFormat="false" ht="15" hidden="false" customHeight="true" outlineLevel="0" collapsed="false">
      <c r="A12" s="31" t="n">
        <v>46279</v>
      </c>
      <c r="B12" s="32" t="n">
        <v>19</v>
      </c>
      <c r="C12" s="33" t="n">
        <f aca="false">B12*$G$2</f>
        <v>7600</v>
      </c>
      <c r="D12" s="15" t="n">
        <v>400</v>
      </c>
      <c r="E12" s="33" t="n">
        <f aca="false">C12+D12</f>
        <v>8000</v>
      </c>
      <c r="F12" s="27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customFormat="false" ht="15" hidden="false" customHeight="true" outlineLevel="0" collapsed="false">
      <c r="A13" s="31" t="n">
        <v>46280</v>
      </c>
      <c r="B13" s="32" t="n">
        <v>16</v>
      </c>
      <c r="C13" s="33" t="n">
        <f aca="false">B13*$G$2</f>
        <v>6400</v>
      </c>
      <c r="D13" s="15" t="n">
        <v>800</v>
      </c>
      <c r="E13" s="33" t="n">
        <f aca="false">C13+D13</f>
        <v>7200</v>
      </c>
      <c r="F13" s="27" t="s">
        <v>204</v>
      </c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customFormat="false" ht="15" hidden="false" customHeight="true" outlineLevel="0" collapsed="false">
      <c r="A14" s="31" t="n">
        <v>46281</v>
      </c>
      <c r="B14" s="32" t="n">
        <v>0</v>
      </c>
      <c r="C14" s="33" t="n">
        <f aca="false">B14*$G$2</f>
        <v>0</v>
      </c>
      <c r="D14" s="15" t="n">
        <v>0</v>
      </c>
      <c r="E14" s="33" t="n">
        <f aca="false">C14+D14</f>
        <v>0</v>
      </c>
      <c r="F14" s="27" t="s">
        <v>205</v>
      </c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customFormat="false" ht="15" hidden="false" customHeight="true" outlineLevel="0" collapsed="false">
      <c r="A15" s="31" t="n">
        <v>46282</v>
      </c>
      <c r="B15" s="32" t="n">
        <v>18</v>
      </c>
      <c r="C15" s="33" t="n">
        <f aca="false">B15*$G$2</f>
        <v>7200</v>
      </c>
      <c r="D15" s="15" t="n">
        <v>800</v>
      </c>
      <c r="E15" s="33" t="n">
        <f aca="false">C15+D15</f>
        <v>8000</v>
      </c>
      <c r="F15" s="27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customFormat="false" ht="15" hidden="false" customHeight="true" outlineLevel="0" collapsed="false">
      <c r="A16" s="31" t="n">
        <v>46283</v>
      </c>
      <c r="B16" s="32" t="n">
        <v>19</v>
      </c>
      <c r="C16" s="33" t="n">
        <f aca="false">B16*$G$2</f>
        <v>7600</v>
      </c>
      <c r="D16" s="15" t="n">
        <v>600</v>
      </c>
      <c r="E16" s="33" t="n">
        <f aca="false">C16+D16</f>
        <v>8200</v>
      </c>
      <c r="F16" s="27" t="s">
        <v>206</v>
      </c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customFormat="false" ht="15" hidden="false" customHeight="true" outlineLevel="0" collapsed="false">
      <c r="A17" s="31" t="n">
        <v>46284</v>
      </c>
      <c r="B17" s="32" t="n">
        <v>15</v>
      </c>
      <c r="C17" s="33" t="n">
        <f aca="false">B17*$G$2</f>
        <v>6000</v>
      </c>
      <c r="D17" s="15" t="n">
        <v>0</v>
      </c>
      <c r="E17" s="33" t="n">
        <f aca="false">C17+D17</f>
        <v>6000</v>
      </c>
      <c r="F17" s="27" t="s">
        <v>207</v>
      </c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customFormat="false" ht="15" hidden="false" customHeight="true" outlineLevel="0" collapsed="false">
      <c r="A18" s="31" t="n">
        <v>46285</v>
      </c>
      <c r="B18" s="32" t="n">
        <v>21</v>
      </c>
      <c r="C18" s="33" t="n">
        <f aca="false">B18*$G$2</f>
        <v>8400</v>
      </c>
      <c r="D18" s="15" t="n">
        <v>400</v>
      </c>
      <c r="E18" s="33" t="n">
        <f aca="false">C18+D18</f>
        <v>8800</v>
      </c>
      <c r="F18" s="27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customFormat="false" ht="15" hidden="false" customHeight="true" outlineLevel="0" collapsed="false">
      <c r="A19" s="31" t="n">
        <v>46286</v>
      </c>
      <c r="B19" s="32" t="n">
        <v>22</v>
      </c>
      <c r="C19" s="33" t="n">
        <f aca="false">B19*$G$2</f>
        <v>8800</v>
      </c>
      <c r="D19" s="15" t="n">
        <v>400</v>
      </c>
      <c r="E19" s="33" t="n">
        <f aca="false">C19+D19</f>
        <v>9200</v>
      </c>
      <c r="F19" s="27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customFormat="false" ht="15" hidden="false" customHeight="true" outlineLevel="0" collapsed="false">
      <c r="A20" s="31" t="n">
        <v>46287</v>
      </c>
      <c r="B20" s="32" t="n">
        <v>14</v>
      </c>
      <c r="C20" s="33" t="n">
        <f aca="false">B20*$G$2</f>
        <v>5600</v>
      </c>
      <c r="D20" s="15" t="n">
        <v>0</v>
      </c>
      <c r="E20" s="33" t="n">
        <f aca="false">C20+D20</f>
        <v>5600</v>
      </c>
      <c r="F20" s="27" t="s">
        <v>207</v>
      </c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customFormat="false" ht="15" hidden="false" customHeight="true" outlineLevel="0" collapsed="false">
      <c r="A21" s="31" t="n">
        <v>46288</v>
      </c>
      <c r="B21" s="32" t="n">
        <v>6</v>
      </c>
      <c r="C21" s="33" t="n">
        <f aca="false">B21*$G$2</f>
        <v>2400</v>
      </c>
      <c r="D21" s="15" t="n">
        <v>400</v>
      </c>
      <c r="E21" s="33" t="n">
        <f aca="false">C21+D21</f>
        <v>2800</v>
      </c>
      <c r="F21" s="27" t="s">
        <v>208</v>
      </c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customFormat="false" ht="15.75" hidden="false" customHeight="true" outlineLevel="0" collapsed="false"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customFormat="false" ht="15" hidden="false" customHeight="true" outlineLevel="0" collapsed="false">
      <c r="D23" s="16" t="s">
        <v>209</v>
      </c>
      <c r="E23" s="17" t="n">
        <f aca="false">SUM(E6:E21)</f>
        <v>129850</v>
      </c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customFormat="false" ht="15" hidden="false" customHeight="true" outlineLevel="0" collapsed="false">
      <c r="A24" s="3" t="s">
        <v>210</v>
      </c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customFormat="false" ht="15.75" hidden="false" customHeight="true" outlineLevel="0" collapsed="false"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customFormat="false" ht="15.75" hidden="false" customHeight="true" outlineLevel="0" collapsed="false"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customFormat="false" ht="15.75" hidden="false" customHeight="true" outlineLevel="0" collapsed="false"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customFormat="false" ht="15.75" hidden="false" customHeight="true" outlineLevel="0" collapsed="false"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customFormat="false" ht="15.75" hidden="false" customHeight="true" outlineLevel="0" collapsed="false"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customFormat="false" ht="15.75" hidden="false" customHeight="true" outlineLevel="0" collapsed="false"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customFormat="false" ht="15.75" hidden="false" customHeight="true" outlineLevel="0" collapsed="false"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customFormat="false" ht="15.75" hidden="false" customHeight="true" outlineLevel="0" collapsed="false"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customFormat="false" ht="15.75" hidden="false" customHeight="true" outlineLevel="0" collapsed="false"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customFormat="false" ht="15.75" hidden="false" customHeight="true" outlineLevel="0" collapsed="false"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customFormat="false" ht="15.75" hidden="false" customHeight="true" outlineLevel="0" collapsed="false"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customFormat="false" ht="15.75" hidden="false" customHeight="true" outlineLevel="0" collapsed="false"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customFormat="false" ht="15.75" hidden="false" customHeight="true" outlineLevel="0" collapsed="false"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customFormat="false" ht="15.75" hidden="false" customHeight="true" outlineLevel="0" collapsed="false"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customFormat="false" ht="15.75" hidden="false" customHeight="true" outlineLevel="0" collapsed="false"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customFormat="false" ht="15.75" hidden="false" customHeight="true" outlineLevel="0" collapsed="false"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customFormat="false" ht="15.75" hidden="false" customHeight="true" outlineLevel="0" collapsed="false"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customFormat="false" ht="15.75" hidden="false" customHeight="true" outlineLevel="0" collapsed="false"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customFormat="false" ht="15.75" hidden="false" customHeight="true" outlineLevel="0" collapsed="false"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customFormat="false" ht="15.75" hidden="false" customHeight="true" outlineLevel="0" collapsed="false"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customFormat="false" ht="15.75" hidden="false" customHeight="true" outlineLevel="0" collapsed="false"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customFormat="false" ht="15.75" hidden="false" customHeight="true" outlineLevel="0" collapsed="false"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customFormat="false" ht="15.75" hidden="false" customHeight="true" outlineLevel="0" collapsed="false"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customFormat="false" ht="15.75" hidden="false" customHeight="true" outlineLevel="0" collapsed="false"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customFormat="false" ht="15.75" hidden="false" customHeight="true" outlineLevel="0" collapsed="false"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customFormat="false" ht="15.75" hidden="false" customHeight="true" outlineLevel="0" collapsed="false"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customFormat="false" ht="15.75" hidden="false" customHeight="true" outlineLevel="0" collapsed="false"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customFormat="false" ht="15.75" hidden="false" customHeight="true" outlineLevel="0" collapsed="false"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customFormat="false" ht="15.75" hidden="false" customHeight="true" outlineLevel="0" collapsed="false"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customFormat="false" ht="15.75" hidden="false" customHeight="true" outlineLevel="0" collapsed="false"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customFormat="false" ht="15.75" hidden="false" customHeight="true" outlineLevel="0" collapsed="false"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customFormat="false" ht="15.75" hidden="false" customHeight="true" outlineLevel="0" collapsed="false"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customFormat="false" ht="15.75" hidden="false" customHeight="true" outlineLevel="0" collapsed="false"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customFormat="false" ht="15.75" hidden="false" customHeight="true" outlineLevel="0" collapsed="false"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customFormat="false" ht="15.75" hidden="false" customHeight="true" outlineLevel="0" collapsed="false"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customFormat="false" ht="15.75" hidden="false" customHeight="true" outlineLevel="0" collapsed="false"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customFormat="false" ht="15.75" hidden="false" customHeight="true" outlineLevel="0" collapsed="false"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customFormat="false" ht="15.75" hidden="false" customHeight="true" outlineLevel="0" collapsed="false"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customFormat="false" ht="15.75" hidden="false" customHeight="true" outlineLevel="0" collapsed="false"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customFormat="false" ht="15.75" hidden="false" customHeight="true" outlineLevel="0" collapsed="false"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customFormat="false" ht="15.75" hidden="false" customHeight="true" outlineLevel="0" collapsed="false"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customFormat="false" ht="15.75" hidden="false" customHeight="true" outlineLevel="0" collapsed="false"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customFormat="false" ht="15.75" hidden="false" customHeight="true" outlineLevel="0" collapsed="false"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customFormat="false" ht="15.75" hidden="false" customHeight="true" outlineLevel="0" collapsed="false"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customFormat="false" ht="15.75" hidden="false" customHeight="true" outlineLevel="0" collapsed="false"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customFormat="false" ht="15.75" hidden="false" customHeight="true" outlineLevel="0" collapsed="false"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customFormat="false" ht="15.75" hidden="false" customHeight="true" outlineLevel="0" collapsed="false"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customFormat="false" ht="15.75" hidden="false" customHeight="true" outlineLevel="0" collapsed="false"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customFormat="false" ht="15.75" hidden="false" customHeight="true" outlineLevel="0" collapsed="false"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customFormat="false" ht="15.75" hidden="false" customHeight="true" outlineLevel="0" collapsed="false"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customFormat="false" ht="15.75" hidden="false" customHeight="true" outlineLevel="0" collapsed="false"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customFormat="false" ht="15.75" hidden="false" customHeight="true" outlineLevel="0" collapsed="false"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customFormat="false" ht="15.75" hidden="false" customHeight="true" outlineLevel="0" collapsed="false"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customFormat="false" ht="15.75" hidden="false" customHeight="true" outlineLevel="0" collapsed="false"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customFormat="false" ht="15.75" hidden="false" customHeight="true" outlineLevel="0" collapsed="false"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customFormat="false" ht="15.75" hidden="false" customHeight="true" outlineLevel="0" collapsed="false"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customFormat="false" ht="15.75" hidden="false" customHeight="true" outlineLevel="0" collapsed="false"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customFormat="false" ht="15.75" hidden="false" customHeight="true" outlineLevel="0" collapsed="false"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customFormat="false" ht="15.75" hidden="false" customHeight="true" outlineLevel="0" collapsed="false"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customFormat="false" ht="15.75" hidden="false" customHeight="true" outlineLevel="0" collapsed="false"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customFormat="false" ht="15.75" hidden="false" customHeight="true" outlineLevel="0" collapsed="false"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customFormat="false" ht="15.75" hidden="false" customHeight="true" outlineLevel="0" collapsed="false"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customFormat="false" ht="15.75" hidden="false" customHeight="true" outlineLevel="0" collapsed="false"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customFormat="false" ht="15.75" hidden="false" customHeight="true" outlineLevel="0" collapsed="false"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customFormat="false" ht="15.75" hidden="false" customHeight="true" outlineLevel="0" collapsed="false"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customFormat="false" ht="15.75" hidden="false" customHeight="true" outlineLevel="0" collapsed="false"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customFormat="false" ht="15.75" hidden="false" customHeight="true" outlineLevel="0" collapsed="false"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customFormat="false" ht="15.75" hidden="false" customHeight="true" outlineLevel="0" collapsed="false"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customFormat="false" ht="15.75" hidden="false" customHeight="true" outlineLevel="0" collapsed="false"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customFormat="false" ht="15.75" hidden="false" customHeight="true" outlineLevel="0" collapsed="false"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customFormat="false" ht="15.75" hidden="false" customHeight="true" outlineLevel="0" collapsed="false"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customFormat="false" ht="15.75" hidden="false" customHeight="true" outlineLevel="0" collapsed="false"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customFormat="false" ht="15.75" hidden="false" customHeight="true" outlineLevel="0" collapsed="false"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customFormat="false" ht="15.75" hidden="false" customHeight="true" outlineLevel="0" collapsed="false"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customFormat="false" ht="15.75" hidden="false" customHeight="true" outlineLevel="0" collapsed="false"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customFormat="false" ht="15.75" hidden="false" customHeight="true" outlineLevel="0" collapsed="false"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customFormat="false" ht="15.75" hidden="false" customHeight="true" outlineLevel="0" collapsed="false"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customFormat="false" ht="15.75" hidden="false" customHeight="true" outlineLevel="0" collapsed="false"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customFormat="false" ht="15.75" hidden="false" customHeight="true" outlineLevel="0" collapsed="false"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customFormat="false" ht="15.75" hidden="false" customHeight="true" outlineLevel="0" collapsed="false"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customFormat="false" ht="15.75" hidden="false" customHeight="true" outlineLevel="0" collapsed="false"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customFormat="false" ht="15.75" hidden="false" customHeight="true" outlineLevel="0" collapsed="false"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customFormat="false" ht="15.75" hidden="false" customHeight="true" outlineLevel="0" collapsed="false"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customFormat="false" ht="15.75" hidden="false" customHeight="true" outlineLevel="0" collapsed="false"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customFormat="false" ht="15.75" hidden="false" customHeight="true" outlineLevel="0" collapsed="false"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customFormat="false" ht="15.75" hidden="false" customHeight="true" outlineLevel="0" collapsed="false"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customFormat="false" ht="15.75" hidden="false" customHeight="true" outlineLevel="0" collapsed="false"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customFormat="false" ht="15.75" hidden="false" customHeight="true" outlineLevel="0" collapsed="false"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customFormat="false" ht="15.75" hidden="false" customHeight="true" outlineLevel="0" collapsed="false"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customFormat="false" ht="15.75" hidden="false" customHeight="true" outlineLevel="0" collapsed="false"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customFormat="false" ht="15.75" hidden="false" customHeight="true" outlineLevel="0" collapsed="false"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customFormat="false" ht="15.75" hidden="false" customHeight="true" outlineLevel="0" collapsed="false"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customFormat="false" ht="15.75" hidden="false" customHeight="true" outlineLevel="0" collapsed="false"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customFormat="false" ht="15.75" hidden="false" customHeight="true" outlineLevel="0" collapsed="false"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customFormat="false" ht="15.75" hidden="false" customHeight="true" outlineLevel="0" collapsed="false"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customFormat="false" ht="15.75" hidden="false" customHeight="true" outlineLevel="0" collapsed="false"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customFormat="false" ht="15.75" hidden="false" customHeight="true" outlineLevel="0" collapsed="false"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customFormat="false" ht="15.75" hidden="false" customHeight="true" outlineLevel="0" collapsed="false"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customFormat="false" ht="15.75" hidden="false" customHeight="true" outlineLevel="0" collapsed="false"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customFormat="false" ht="15.75" hidden="false" customHeight="true" outlineLevel="0" collapsed="false"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customFormat="false" ht="15.75" hidden="false" customHeight="true" outlineLevel="0" collapsed="false"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customFormat="false" ht="15.75" hidden="false" customHeight="true" outlineLevel="0" collapsed="false"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customFormat="false" ht="15.75" hidden="false" customHeight="true" outlineLevel="0" collapsed="false"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customFormat="false" ht="15.75" hidden="false" customHeight="true" outlineLevel="0" collapsed="false"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customFormat="false" ht="15.75" hidden="false" customHeight="true" outlineLevel="0" collapsed="false"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customFormat="false" ht="15.75" hidden="false" customHeight="true" outlineLevel="0" collapsed="false"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customFormat="false" ht="15.75" hidden="false" customHeight="true" outlineLevel="0" collapsed="false"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customFormat="false" ht="15.75" hidden="false" customHeight="true" outlineLevel="0" collapsed="false"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customFormat="false" ht="15.75" hidden="false" customHeight="true" outlineLevel="0" collapsed="false"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customFormat="false" ht="15.75" hidden="false" customHeight="true" outlineLevel="0" collapsed="false"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customFormat="false" ht="15.75" hidden="false" customHeight="true" outlineLevel="0" collapsed="false"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customFormat="false" ht="15.75" hidden="false" customHeight="true" outlineLevel="0" collapsed="false"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customFormat="false" ht="15.75" hidden="false" customHeight="true" outlineLevel="0" collapsed="false"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customFormat="false" ht="15.75" hidden="false" customHeight="true" outlineLevel="0" collapsed="false"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customFormat="false" ht="15.75" hidden="false" customHeight="true" outlineLevel="0" collapsed="false"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customFormat="false" ht="15.75" hidden="false" customHeight="true" outlineLevel="0" collapsed="false"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customFormat="false" ht="15.75" hidden="false" customHeight="true" outlineLevel="0" collapsed="false"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customFormat="false" ht="15.75" hidden="false" customHeight="true" outlineLevel="0" collapsed="false"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customFormat="false" ht="15.75" hidden="false" customHeight="true" outlineLevel="0" collapsed="false"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customFormat="false" ht="15.75" hidden="false" customHeight="true" outlineLevel="0" collapsed="false"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customFormat="false" ht="15.75" hidden="false" customHeight="true" outlineLevel="0" collapsed="false"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customFormat="false" ht="15.75" hidden="false" customHeight="true" outlineLevel="0" collapsed="false"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customFormat="false" ht="15.75" hidden="false" customHeight="true" outlineLevel="0" collapsed="false"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customFormat="false" ht="15.75" hidden="false" customHeight="true" outlineLevel="0" collapsed="false"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customFormat="false" ht="15.75" hidden="false" customHeight="true" outlineLevel="0" collapsed="false"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customFormat="false" ht="15.75" hidden="false" customHeight="true" outlineLevel="0" collapsed="false"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customFormat="false" ht="15.75" hidden="false" customHeight="true" outlineLevel="0" collapsed="false"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customFormat="false" ht="15.75" hidden="false" customHeight="true" outlineLevel="0" collapsed="false"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customFormat="false" ht="15.75" hidden="false" customHeight="true" outlineLevel="0" collapsed="false"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customFormat="false" ht="15.75" hidden="false" customHeight="true" outlineLevel="0" collapsed="false"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customFormat="false" ht="15.75" hidden="false" customHeight="true" outlineLevel="0" collapsed="false"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customFormat="false" ht="15.75" hidden="false" customHeight="true" outlineLevel="0" collapsed="false"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customFormat="false" ht="15.75" hidden="false" customHeight="true" outlineLevel="0" collapsed="false"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customFormat="false" ht="15.75" hidden="false" customHeight="true" outlineLevel="0" collapsed="false"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customFormat="false" ht="15.75" hidden="false" customHeight="true" outlineLevel="0" collapsed="false"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customFormat="false" ht="15.75" hidden="false" customHeight="true" outlineLevel="0" collapsed="false"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customFormat="false" ht="15.75" hidden="false" customHeight="true" outlineLevel="0" collapsed="false"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customFormat="false" ht="15.75" hidden="false" customHeight="true" outlineLevel="0" collapsed="false"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customFormat="false" ht="15.75" hidden="false" customHeight="true" outlineLevel="0" collapsed="false"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customFormat="false" ht="15.75" hidden="false" customHeight="true" outlineLevel="0" collapsed="false"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customFormat="false" ht="15.75" hidden="false" customHeight="true" outlineLevel="0" collapsed="false"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customFormat="false" ht="15.75" hidden="false" customHeight="true" outlineLevel="0" collapsed="false"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customFormat="false" ht="15.75" hidden="false" customHeight="true" outlineLevel="0" collapsed="false"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customFormat="false" ht="15.75" hidden="false" customHeight="true" outlineLevel="0" collapsed="false"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customFormat="false" ht="15.75" hidden="false" customHeight="true" outlineLevel="0" collapsed="false"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customFormat="false" ht="15.75" hidden="false" customHeight="true" outlineLevel="0" collapsed="false"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customFormat="false" ht="15.75" hidden="false" customHeight="true" outlineLevel="0" collapsed="false"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customFormat="false" ht="15.75" hidden="false" customHeight="true" outlineLevel="0" collapsed="false"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customFormat="false" ht="15.75" hidden="false" customHeight="true" outlineLevel="0" collapsed="false"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customFormat="false" ht="15.75" hidden="false" customHeight="true" outlineLevel="0" collapsed="false"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customFormat="false" ht="15.75" hidden="false" customHeight="true" outlineLevel="0" collapsed="false"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customFormat="false" ht="15.75" hidden="false" customHeight="true" outlineLevel="0" collapsed="false"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customFormat="false" ht="15.75" hidden="false" customHeight="true" outlineLevel="0" collapsed="false"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customFormat="false" ht="15.75" hidden="false" customHeight="true" outlineLevel="0" collapsed="false"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customFormat="false" ht="15.75" hidden="false" customHeight="true" outlineLevel="0" collapsed="false"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customFormat="false" ht="15.75" hidden="false" customHeight="true" outlineLevel="0" collapsed="false"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customFormat="false" ht="15.75" hidden="false" customHeight="true" outlineLevel="0" collapsed="false"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customFormat="false" ht="15.75" hidden="false" customHeight="true" outlineLevel="0" collapsed="false"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customFormat="false" ht="15.75" hidden="false" customHeight="true" outlineLevel="0" collapsed="false"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customFormat="false" ht="15.75" hidden="false" customHeight="true" outlineLevel="0" collapsed="false"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customFormat="false" ht="15.75" hidden="false" customHeight="true" outlineLevel="0" collapsed="false"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customFormat="false" ht="15.75" hidden="false" customHeight="true" outlineLevel="0" collapsed="false"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customFormat="false" ht="15.75" hidden="false" customHeight="true" outlineLevel="0" collapsed="false"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customFormat="false" ht="15.75" hidden="false" customHeight="true" outlineLevel="0" collapsed="false"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customFormat="false" ht="15.75" hidden="false" customHeight="true" outlineLevel="0" collapsed="false"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customFormat="false" ht="15.75" hidden="false" customHeight="true" outlineLevel="0" collapsed="false"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customFormat="false" ht="15.75" hidden="false" customHeight="true" outlineLevel="0" collapsed="false"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customFormat="false" ht="15.75" hidden="false" customHeight="true" outlineLevel="0" collapsed="false"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customFormat="false" ht="15.75" hidden="false" customHeight="true" outlineLevel="0" collapsed="false"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customFormat="false" ht="15.75" hidden="false" customHeight="true" outlineLevel="0" collapsed="false"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customFormat="false" ht="15.75" hidden="false" customHeight="true" outlineLevel="0" collapsed="false"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customFormat="false" ht="15.75" hidden="false" customHeight="true" outlineLevel="0" collapsed="false"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customFormat="false" ht="15.75" hidden="false" customHeight="true" outlineLevel="0" collapsed="false"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customFormat="false" ht="15.75" hidden="false" customHeight="true" outlineLevel="0" collapsed="false"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customFormat="false" ht="15.75" hidden="false" customHeight="true" outlineLevel="0" collapsed="false"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customFormat="false" ht="15.75" hidden="false" customHeight="true" outlineLevel="0" collapsed="false"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customFormat="false" ht="15.75" hidden="false" customHeight="true" outlineLevel="0" collapsed="false"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customFormat="false" ht="15.75" hidden="false" customHeight="true" outlineLevel="0" collapsed="false"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customFormat="false" ht="15.75" hidden="false" customHeight="true" outlineLevel="0" collapsed="false"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customFormat="false" ht="15.75" hidden="false" customHeight="true" outlineLevel="0" collapsed="false"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customFormat="false" ht="15.75" hidden="false" customHeight="true" outlineLevel="0" collapsed="false"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customFormat="false" ht="15.75" hidden="false" customHeight="true" outlineLevel="0" collapsed="false"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customFormat="false" ht="15.75" hidden="false" customHeight="true" outlineLevel="0" collapsed="false"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customFormat="false" ht="15.75" hidden="false" customHeight="true" outlineLevel="0" collapsed="false"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customFormat="false" ht="15.75" hidden="false" customHeight="true" outlineLevel="0" collapsed="false"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customFormat="false" ht="15.75" hidden="false" customHeight="true" outlineLevel="0" collapsed="false"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customFormat="false" ht="15.75" hidden="false" customHeight="true" outlineLevel="0" collapsed="false"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customFormat="false" ht="15.75" hidden="false" customHeight="true" outlineLevel="0" collapsed="false"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customFormat="false" ht="15.75" hidden="false" customHeight="true" outlineLevel="0" collapsed="false"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customFormat="false" ht="15.75" hidden="false" customHeight="true" outlineLevel="0" collapsed="false"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customFormat="false" ht="15.75" hidden="false" customHeight="true" outlineLevel="0" collapsed="false"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customFormat="false" ht="15.75" hidden="false" customHeight="true" outlineLevel="0" collapsed="false"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customFormat="false" ht="15.75" hidden="false" customHeight="true" outlineLevel="0" collapsed="false"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customFormat="false" ht="15.75" hidden="false" customHeight="true" outlineLevel="0" collapsed="false"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customFormat="false" ht="15.75" hidden="false" customHeight="true" outlineLevel="0" collapsed="false"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customFormat="false" ht="15.75" hidden="false" customHeight="true" outlineLevel="0" collapsed="false"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customFormat="false" ht="15.75" hidden="false" customHeight="true" outlineLevel="0" collapsed="false"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customFormat="false" ht="15.75" hidden="false" customHeight="true" outlineLevel="0" collapsed="false"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customFormat="false" ht="15.75" hidden="false" customHeight="true" outlineLevel="0" collapsed="false"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customFormat="false" ht="15.75" hidden="false" customHeight="true" outlineLevel="0" collapsed="false"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customFormat="false" ht="15.75" hidden="false" customHeight="true" outlineLevel="0" collapsed="false"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customFormat="false" ht="15.75" hidden="false" customHeight="true" outlineLevel="0" collapsed="false"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customFormat="false" ht="15.75" hidden="false" customHeight="true" outlineLevel="0" collapsed="false"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customFormat="false" ht="15.75" hidden="false" customHeight="true" outlineLevel="0" collapsed="false"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customFormat="false" ht="15.75" hidden="false" customHeight="true" outlineLevel="0" collapsed="false"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customFormat="false" ht="15.75" hidden="false" customHeight="true" outlineLevel="0" collapsed="false"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customFormat="false" ht="15.75" hidden="false" customHeight="true" outlineLevel="0" collapsed="false"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customFormat="false" ht="15.75" hidden="false" customHeight="true" outlineLevel="0" collapsed="false"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customFormat="false" ht="15.75" hidden="false" customHeight="true" outlineLevel="0" collapsed="false"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customFormat="false" ht="15.75" hidden="false" customHeight="true" outlineLevel="0" collapsed="false"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customFormat="false" ht="15.75" hidden="false" customHeight="true" outlineLevel="0" collapsed="false"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customFormat="false" ht="15.75" hidden="false" customHeight="true" outlineLevel="0" collapsed="false"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customFormat="false" ht="15.75" hidden="false" customHeight="true" outlineLevel="0" collapsed="false"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customFormat="false" ht="15.75" hidden="false" customHeight="true" outlineLevel="0" collapsed="false"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customFormat="false" ht="15.75" hidden="false" customHeight="true" outlineLevel="0" collapsed="false"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customFormat="false" ht="15.75" hidden="false" customHeight="true" outlineLevel="0" collapsed="false"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customFormat="false" ht="15.75" hidden="false" customHeight="true" outlineLevel="0" collapsed="false"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customFormat="false" ht="15.75" hidden="false" customHeight="true" outlineLevel="0" collapsed="false"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customFormat="false" ht="15.75" hidden="false" customHeight="true" outlineLevel="0" collapsed="false"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customFormat="false" ht="15.75" hidden="false" customHeight="true" outlineLevel="0" collapsed="false"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customFormat="false" ht="15.75" hidden="false" customHeight="true" outlineLevel="0" collapsed="false"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customFormat="false" ht="15.75" hidden="false" customHeight="true" outlineLevel="0" collapsed="false"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customFormat="false" ht="15.75" hidden="false" customHeight="true" outlineLevel="0" collapsed="false"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customFormat="false" ht="15.75" hidden="false" customHeight="true" outlineLevel="0" collapsed="false"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customFormat="false" ht="15.75" hidden="false" customHeight="true" outlineLevel="0" collapsed="false"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customFormat="false" ht="15.75" hidden="false" customHeight="true" outlineLevel="0" collapsed="false"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customFormat="false" ht="15.75" hidden="false" customHeight="true" outlineLevel="0" collapsed="false"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customFormat="false" ht="15.75" hidden="false" customHeight="true" outlineLevel="0" collapsed="false"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customFormat="false" ht="15.75" hidden="false" customHeight="true" outlineLevel="0" collapsed="false"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customFormat="false" ht="15.75" hidden="false" customHeight="true" outlineLevel="0" collapsed="false"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customFormat="false" ht="15.75" hidden="false" customHeight="true" outlineLevel="0" collapsed="false"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customFormat="false" ht="15.75" hidden="false" customHeight="true" outlineLevel="0" collapsed="false"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customFormat="false" ht="15.75" hidden="false" customHeight="true" outlineLevel="0" collapsed="false"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customFormat="false" ht="15.75" hidden="false" customHeight="true" outlineLevel="0" collapsed="false"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customFormat="false" ht="15.75" hidden="false" customHeight="true" outlineLevel="0" collapsed="false"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customFormat="false" ht="15.75" hidden="false" customHeight="true" outlineLevel="0" collapsed="false"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customFormat="false" ht="15.75" hidden="false" customHeight="true" outlineLevel="0" collapsed="false"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customFormat="false" ht="15.75" hidden="false" customHeight="true" outlineLevel="0" collapsed="false"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customFormat="false" ht="15.75" hidden="false" customHeight="true" outlineLevel="0" collapsed="false"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customFormat="false" ht="15.75" hidden="false" customHeight="true" outlineLevel="0" collapsed="false"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customFormat="false" ht="15.75" hidden="false" customHeight="true" outlineLevel="0" collapsed="false"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customFormat="false" ht="15.75" hidden="false" customHeight="true" outlineLevel="0" collapsed="false"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customFormat="false" ht="15.75" hidden="false" customHeight="true" outlineLevel="0" collapsed="false"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customFormat="false" ht="15.75" hidden="false" customHeight="true" outlineLevel="0" collapsed="false"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customFormat="false" ht="15.75" hidden="false" customHeight="true" outlineLevel="0" collapsed="false"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customFormat="false" ht="15.75" hidden="false" customHeight="true" outlineLevel="0" collapsed="false"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customFormat="false" ht="15.75" hidden="false" customHeight="true" outlineLevel="0" collapsed="false"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customFormat="false" ht="15.75" hidden="false" customHeight="true" outlineLevel="0" collapsed="false"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customFormat="false" ht="15.75" hidden="false" customHeight="true" outlineLevel="0" collapsed="false"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customFormat="false" ht="15.75" hidden="false" customHeight="true" outlineLevel="0" collapsed="false"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customFormat="false" ht="15.75" hidden="false" customHeight="true" outlineLevel="0" collapsed="false"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customFormat="false" ht="15.75" hidden="false" customHeight="true" outlineLevel="0" collapsed="false"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customFormat="false" ht="15.75" hidden="false" customHeight="true" outlineLevel="0" collapsed="false"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customFormat="false" ht="15.75" hidden="false" customHeight="true" outlineLevel="0" collapsed="false"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customFormat="false" ht="15.75" hidden="false" customHeight="true" outlineLevel="0" collapsed="false"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customFormat="false" ht="15.75" hidden="false" customHeight="true" outlineLevel="0" collapsed="false"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customFormat="false" ht="15.75" hidden="false" customHeight="true" outlineLevel="0" collapsed="false"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customFormat="false" ht="15.75" hidden="false" customHeight="true" outlineLevel="0" collapsed="false"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customFormat="false" ht="15.75" hidden="false" customHeight="true" outlineLevel="0" collapsed="false"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customFormat="false" ht="15.75" hidden="false" customHeight="true" outlineLevel="0" collapsed="false"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customFormat="false" ht="15.75" hidden="false" customHeight="true" outlineLevel="0" collapsed="false"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customFormat="false" ht="15.75" hidden="false" customHeight="true" outlineLevel="0" collapsed="false"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customFormat="false" ht="15.75" hidden="false" customHeight="true" outlineLevel="0" collapsed="false"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customFormat="false" ht="15.75" hidden="false" customHeight="true" outlineLevel="0" collapsed="false"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customFormat="false" ht="15.75" hidden="false" customHeight="true" outlineLevel="0" collapsed="false"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customFormat="false" ht="15.75" hidden="false" customHeight="true" outlineLevel="0" collapsed="false"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customFormat="false" ht="15.75" hidden="false" customHeight="true" outlineLevel="0" collapsed="false"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customFormat="false" ht="15.75" hidden="false" customHeight="true" outlineLevel="0" collapsed="false"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customFormat="false" ht="15.75" hidden="false" customHeight="true" outlineLevel="0" collapsed="false"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customFormat="false" ht="15.75" hidden="false" customHeight="true" outlineLevel="0" collapsed="false"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customFormat="false" ht="15.75" hidden="false" customHeight="true" outlineLevel="0" collapsed="false"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customFormat="false" ht="15.75" hidden="false" customHeight="true" outlineLevel="0" collapsed="false"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customFormat="false" ht="15.75" hidden="false" customHeight="true" outlineLevel="0" collapsed="false"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customFormat="false" ht="15.75" hidden="false" customHeight="true" outlineLevel="0" collapsed="false"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customFormat="false" ht="15.75" hidden="false" customHeight="true" outlineLevel="0" collapsed="false"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customFormat="false" ht="15.75" hidden="false" customHeight="true" outlineLevel="0" collapsed="false"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customFormat="false" ht="15.75" hidden="false" customHeight="true" outlineLevel="0" collapsed="false"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customFormat="false" ht="15.75" hidden="false" customHeight="true" outlineLevel="0" collapsed="false"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customFormat="false" ht="15.75" hidden="false" customHeight="true" outlineLevel="0" collapsed="false"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customFormat="false" ht="15.75" hidden="false" customHeight="true" outlineLevel="0" collapsed="false"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customFormat="false" ht="15.75" hidden="false" customHeight="true" outlineLevel="0" collapsed="false"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customFormat="false" ht="15.75" hidden="false" customHeight="true" outlineLevel="0" collapsed="false"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customFormat="false" ht="15.75" hidden="false" customHeight="true" outlineLevel="0" collapsed="false"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customFormat="false" ht="15.75" hidden="false" customHeight="true" outlineLevel="0" collapsed="false"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customFormat="false" ht="15.75" hidden="false" customHeight="true" outlineLevel="0" collapsed="false"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customFormat="false" ht="15.75" hidden="false" customHeight="true" outlineLevel="0" collapsed="false"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customFormat="false" ht="15.75" hidden="false" customHeight="true" outlineLevel="0" collapsed="false"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customFormat="false" ht="15.75" hidden="false" customHeight="true" outlineLevel="0" collapsed="false"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customFormat="false" ht="15.75" hidden="false" customHeight="true" outlineLevel="0" collapsed="false"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customFormat="false" ht="15.75" hidden="false" customHeight="true" outlineLevel="0" collapsed="false"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customFormat="false" ht="15.75" hidden="false" customHeight="true" outlineLevel="0" collapsed="false"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customFormat="false" ht="15.75" hidden="false" customHeight="true" outlineLevel="0" collapsed="false"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customFormat="false" ht="15.75" hidden="false" customHeight="true" outlineLevel="0" collapsed="false"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customFormat="false" ht="15.75" hidden="false" customHeight="true" outlineLevel="0" collapsed="false"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customFormat="false" ht="15.75" hidden="false" customHeight="true" outlineLevel="0" collapsed="false"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customFormat="false" ht="15.75" hidden="false" customHeight="true" outlineLevel="0" collapsed="false"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customFormat="false" ht="15.75" hidden="false" customHeight="true" outlineLevel="0" collapsed="false"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customFormat="false" ht="15.75" hidden="false" customHeight="true" outlineLevel="0" collapsed="false"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customFormat="false" ht="15.75" hidden="false" customHeight="true" outlineLevel="0" collapsed="false"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customFormat="false" ht="15.75" hidden="false" customHeight="true" outlineLevel="0" collapsed="false"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customFormat="false" ht="15.75" hidden="false" customHeight="true" outlineLevel="0" collapsed="false"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customFormat="false" ht="15.75" hidden="false" customHeight="true" outlineLevel="0" collapsed="false"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customFormat="false" ht="15.75" hidden="false" customHeight="true" outlineLevel="0" collapsed="false"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customFormat="false" ht="15.75" hidden="false" customHeight="true" outlineLevel="0" collapsed="false"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customFormat="false" ht="15.75" hidden="false" customHeight="true" outlineLevel="0" collapsed="false"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customFormat="false" ht="15.75" hidden="false" customHeight="true" outlineLevel="0" collapsed="false"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customFormat="false" ht="15.75" hidden="false" customHeight="true" outlineLevel="0" collapsed="false"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customFormat="false" ht="15.75" hidden="false" customHeight="true" outlineLevel="0" collapsed="false"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customFormat="false" ht="15.75" hidden="false" customHeight="true" outlineLevel="0" collapsed="false"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customFormat="false" ht="15.75" hidden="false" customHeight="true" outlineLevel="0" collapsed="false"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customFormat="false" ht="15.75" hidden="false" customHeight="true" outlineLevel="0" collapsed="false"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customFormat="false" ht="15.75" hidden="false" customHeight="true" outlineLevel="0" collapsed="false"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customFormat="false" ht="15.75" hidden="false" customHeight="true" outlineLevel="0" collapsed="false"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customFormat="false" ht="15.75" hidden="false" customHeight="true" outlineLevel="0" collapsed="false"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customFormat="false" ht="15.75" hidden="false" customHeight="true" outlineLevel="0" collapsed="false"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customFormat="false" ht="15.75" hidden="false" customHeight="true" outlineLevel="0" collapsed="false"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customFormat="false" ht="15.75" hidden="false" customHeight="true" outlineLevel="0" collapsed="false"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customFormat="false" ht="15.75" hidden="false" customHeight="true" outlineLevel="0" collapsed="false"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customFormat="false" ht="15.75" hidden="false" customHeight="true" outlineLevel="0" collapsed="false"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customFormat="false" ht="15.75" hidden="false" customHeight="true" outlineLevel="0" collapsed="false"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customFormat="false" ht="15.75" hidden="false" customHeight="true" outlineLevel="0" collapsed="false"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customFormat="false" ht="15.75" hidden="false" customHeight="true" outlineLevel="0" collapsed="false"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customFormat="false" ht="15.75" hidden="false" customHeight="true" outlineLevel="0" collapsed="false"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customFormat="false" ht="15.75" hidden="false" customHeight="true" outlineLevel="0" collapsed="false"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customFormat="false" ht="15.75" hidden="false" customHeight="true" outlineLevel="0" collapsed="false"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customFormat="false" ht="15.75" hidden="false" customHeight="true" outlineLevel="0" collapsed="false"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customFormat="false" ht="15.75" hidden="false" customHeight="true" outlineLevel="0" collapsed="false"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customFormat="false" ht="15.75" hidden="false" customHeight="true" outlineLevel="0" collapsed="false"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customFormat="false" ht="15.75" hidden="false" customHeight="true" outlineLevel="0" collapsed="false"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customFormat="false" ht="15.75" hidden="false" customHeight="true" outlineLevel="0" collapsed="false"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customFormat="false" ht="15.75" hidden="false" customHeight="true" outlineLevel="0" collapsed="false"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customFormat="false" ht="15.75" hidden="false" customHeight="true" outlineLevel="0" collapsed="false"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customFormat="false" ht="15.75" hidden="false" customHeight="true" outlineLevel="0" collapsed="false"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customFormat="false" ht="15.75" hidden="false" customHeight="true" outlineLevel="0" collapsed="false"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customFormat="false" ht="15.75" hidden="false" customHeight="true" outlineLevel="0" collapsed="false"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customFormat="false" ht="15.75" hidden="false" customHeight="true" outlineLevel="0" collapsed="false"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customFormat="false" ht="15.75" hidden="false" customHeight="true" outlineLevel="0" collapsed="false"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customFormat="false" ht="15.75" hidden="false" customHeight="true" outlineLevel="0" collapsed="false"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customFormat="false" ht="15.75" hidden="false" customHeight="true" outlineLevel="0" collapsed="false"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customFormat="false" ht="15.75" hidden="false" customHeight="true" outlineLevel="0" collapsed="false"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customFormat="false" ht="15.75" hidden="false" customHeight="true" outlineLevel="0" collapsed="false"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customFormat="false" ht="15.75" hidden="false" customHeight="true" outlineLevel="0" collapsed="false"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customFormat="false" ht="15.75" hidden="false" customHeight="true" outlineLevel="0" collapsed="false"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customFormat="false" ht="15.75" hidden="false" customHeight="true" outlineLevel="0" collapsed="false"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customFormat="false" ht="15.75" hidden="false" customHeight="true" outlineLevel="0" collapsed="false"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customFormat="false" ht="15.75" hidden="false" customHeight="true" outlineLevel="0" collapsed="false"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customFormat="false" ht="15.75" hidden="false" customHeight="true" outlineLevel="0" collapsed="false"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customFormat="false" ht="15.75" hidden="false" customHeight="true" outlineLevel="0" collapsed="false"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customFormat="false" ht="15.75" hidden="false" customHeight="true" outlineLevel="0" collapsed="false"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customFormat="false" ht="15.75" hidden="false" customHeight="true" outlineLevel="0" collapsed="false"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customFormat="false" ht="15.75" hidden="false" customHeight="true" outlineLevel="0" collapsed="false"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customFormat="false" ht="15.75" hidden="false" customHeight="true" outlineLevel="0" collapsed="false"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customFormat="false" ht="15.75" hidden="false" customHeight="true" outlineLevel="0" collapsed="false"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customFormat="false" ht="15.75" hidden="false" customHeight="true" outlineLevel="0" collapsed="false"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customFormat="false" ht="15.75" hidden="false" customHeight="true" outlineLevel="0" collapsed="false"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customFormat="false" ht="15.75" hidden="false" customHeight="true" outlineLevel="0" collapsed="false"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customFormat="false" ht="15.75" hidden="false" customHeight="true" outlineLevel="0" collapsed="false"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customFormat="false" ht="15.75" hidden="false" customHeight="true" outlineLevel="0" collapsed="false"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customFormat="false" ht="15.75" hidden="false" customHeight="true" outlineLevel="0" collapsed="false"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customFormat="false" ht="15.75" hidden="false" customHeight="true" outlineLevel="0" collapsed="false"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customFormat="false" ht="15.75" hidden="false" customHeight="true" outlineLevel="0" collapsed="false"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customFormat="false" ht="15.75" hidden="false" customHeight="true" outlineLevel="0" collapsed="false"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customFormat="false" ht="15.75" hidden="false" customHeight="true" outlineLevel="0" collapsed="false"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customFormat="false" ht="15.75" hidden="false" customHeight="true" outlineLevel="0" collapsed="false"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customFormat="false" ht="15.75" hidden="false" customHeight="true" outlineLevel="0" collapsed="false"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customFormat="false" ht="15.75" hidden="false" customHeight="true" outlineLevel="0" collapsed="false"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customFormat="false" ht="15.75" hidden="false" customHeight="true" outlineLevel="0" collapsed="false"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customFormat="false" ht="15.75" hidden="false" customHeight="true" outlineLevel="0" collapsed="false"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customFormat="false" ht="15.75" hidden="false" customHeight="true" outlineLevel="0" collapsed="false"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customFormat="false" ht="15.75" hidden="false" customHeight="true" outlineLevel="0" collapsed="false"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customFormat="false" ht="15.75" hidden="false" customHeight="true" outlineLevel="0" collapsed="false"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customFormat="false" ht="15.75" hidden="false" customHeight="true" outlineLevel="0" collapsed="false"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customFormat="false" ht="15.75" hidden="false" customHeight="true" outlineLevel="0" collapsed="false"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customFormat="false" ht="15.75" hidden="false" customHeight="true" outlineLevel="0" collapsed="false"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customFormat="false" ht="15.75" hidden="false" customHeight="true" outlineLevel="0" collapsed="false"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customFormat="false" ht="15.75" hidden="false" customHeight="true" outlineLevel="0" collapsed="false"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customFormat="false" ht="15.75" hidden="false" customHeight="true" outlineLevel="0" collapsed="false"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customFormat="false" ht="15.75" hidden="false" customHeight="true" outlineLevel="0" collapsed="false"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customFormat="false" ht="15.75" hidden="false" customHeight="true" outlineLevel="0" collapsed="false"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customFormat="false" ht="15.75" hidden="false" customHeight="true" outlineLevel="0" collapsed="false"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customFormat="false" ht="15.75" hidden="false" customHeight="true" outlineLevel="0" collapsed="false"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customFormat="false" ht="15.75" hidden="false" customHeight="true" outlineLevel="0" collapsed="false"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customFormat="false" ht="15.75" hidden="false" customHeight="true" outlineLevel="0" collapsed="false"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customFormat="false" ht="15.75" hidden="false" customHeight="true" outlineLevel="0" collapsed="false"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customFormat="false" ht="15.75" hidden="false" customHeight="true" outlineLevel="0" collapsed="false"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customFormat="false" ht="15.75" hidden="false" customHeight="true" outlineLevel="0" collapsed="false"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customFormat="false" ht="15.75" hidden="false" customHeight="true" outlineLevel="0" collapsed="false"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customFormat="false" ht="15.75" hidden="false" customHeight="true" outlineLevel="0" collapsed="false"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customFormat="false" ht="15.75" hidden="false" customHeight="true" outlineLevel="0" collapsed="false"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customFormat="false" ht="15.75" hidden="false" customHeight="true" outlineLevel="0" collapsed="false"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customFormat="false" ht="15.75" hidden="false" customHeight="true" outlineLevel="0" collapsed="false"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customFormat="false" ht="15.75" hidden="false" customHeight="true" outlineLevel="0" collapsed="false"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customFormat="false" ht="15.75" hidden="false" customHeight="true" outlineLevel="0" collapsed="false"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customFormat="false" ht="15.75" hidden="false" customHeight="true" outlineLevel="0" collapsed="false"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customFormat="false" ht="15.75" hidden="false" customHeight="true" outlineLevel="0" collapsed="false"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customFormat="false" ht="15.75" hidden="false" customHeight="true" outlineLevel="0" collapsed="false"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customFormat="false" ht="15.75" hidden="false" customHeight="true" outlineLevel="0" collapsed="false"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customFormat="false" ht="15.75" hidden="false" customHeight="true" outlineLevel="0" collapsed="false"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customFormat="false" ht="15.75" hidden="false" customHeight="true" outlineLevel="0" collapsed="false"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customFormat="false" ht="15.75" hidden="false" customHeight="true" outlineLevel="0" collapsed="false"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customFormat="false" ht="15.75" hidden="false" customHeight="true" outlineLevel="0" collapsed="false"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customFormat="false" ht="15.75" hidden="false" customHeight="true" outlineLevel="0" collapsed="false"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customFormat="false" ht="15.75" hidden="false" customHeight="true" outlineLevel="0" collapsed="false"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customFormat="false" ht="15.75" hidden="false" customHeight="true" outlineLevel="0" collapsed="false"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customFormat="false" ht="15.75" hidden="false" customHeight="true" outlineLevel="0" collapsed="false"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customFormat="false" ht="15.75" hidden="false" customHeight="true" outlineLevel="0" collapsed="false"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customFormat="false" ht="15.75" hidden="false" customHeight="true" outlineLevel="0" collapsed="false"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customFormat="false" ht="15.75" hidden="false" customHeight="true" outlineLevel="0" collapsed="false"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customFormat="false" ht="15.75" hidden="false" customHeight="true" outlineLevel="0" collapsed="false"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customFormat="false" ht="15.75" hidden="false" customHeight="true" outlineLevel="0" collapsed="false"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customFormat="false" ht="15.75" hidden="false" customHeight="true" outlineLevel="0" collapsed="false"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customFormat="false" ht="15.75" hidden="false" customHeight="true" outlineLevel="0" collapsed="false"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customFormat="false" ht="15.75" hidden="false" customHeight="true" outlineLevel="0" collapsed="false"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customFormat="false" ht="15.75" hidden="false" customHeight="true" outlineLevel="0" collapsed="false"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customFormat="false" ht="15.75" hidden="false" customHeight="true" outlineLevel="0" collapsed="false"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customFormat="false" ht="15.75" hidden="false" customHeight="true" outlineLevel="0" collapsed="false"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customFormat="false" ht="15.75" hidden="false" customHeight="true" outlineLevel="0" collapsed="false"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customFormat="false" ht="15.75" hidden="false" customHeight="true" outlineLevel="0" collapsed="false"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customFormat="false" ht="15.75" hidden="false" customHeight="true" outlineLevel="0" collapsed="false"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customFormat="false" ht="15.75" hidden="false" customHeight="true" outlineLevel="0" collapsed="false"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customFormat="false" ht="15.75" hidden="false" customHeight="true" outlineLevel="0" collapsed="false"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customFormat="false" ht="15.75" hidden="false" customHeight="true" outlineLevel="0" collapsed="false"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customFormat="false" ht="15.75" hidden="false" customHeight="true" outlineLevel="0" collapsed="false"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customFormat="false" ht="15.75" hidden="false" customHeight="true" outlineLevel="0" collapsed="false"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customFormat="false" ht="15.75" hidden="false" customHeight="true" outlineLevel="0" collapsed="false"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customFormat="false" ht="15.75" hidden="false" customHeight="true" outlineLevel="0" collapsed="false"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customFormat="false" ht="15.75" hidden="false" customHeight="true" outlineLevel="0" collapsed="false"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customFormat="false" ht="15.75" hidden="false" customHeight="true" outlineLevel="0" collapsed="false"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customFormat="false" ht="15.75" hidden="false" customHeight="true" outlineLevel="0" collapsed="false"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customFormat="false" ht="15.75" hidden="false" customHeight="true" outlineLevel="0" collapsed="false"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customFormat="false" ht="15.75" hidden="false" customHeight="true" outlineLevel="0" collapsed="false"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customFormat="false" ht="15.75" hidden="false" customHeight="true" outlineLevel="0" collapsed="false"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customFormat="false" ht="15.75" hidden="false" customHeight="true" outlineLevel="0" collapsed="false"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customFormat="false" ht="15.75" hidden="false" customHeight="true" outlineLevel="0" collapsed="false"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customFormat="false" ht="15.75" hidden="false" customHeight="true" outlineLevel="0" collapsed="false"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customFormat="false" ht="15.75" hidden="false" customHeight="true" outlineLevel="0" collapsed="false"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customFormat="false" ht="15.75" hidden="false" customHeight="true" outlineLevel="0" collapsed="false"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customFormat="false" ht="15.75" hidden="false" customHeight="true" outlineLevel="0" collapsed="false"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customFormat="false" ht="15.75" hidden="false" customHeight="true" outlineLevel="0" collapsed="false"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customFormat="false" ht="15.75" hidden="false" customHeight="true" outlineLevel="0" collapsed="false"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customFormat="false" ht="15.75" hidden="false" customHeight="true" outlineLevel="0" collapsed="false"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customFormat="false" ht="15.75" hidden="false" customHeight="true" outlineLevel="0" collapsed="false"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customFormat="false" ht="15.75" hidden="false" customHeight="true" outlineLevel="0" collapsed="false"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customFormat="false" ht="15.75" hidden="false" customHeight="true" outlineLevel="0" collapsed="false"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customFormat="false" ht="15.75" hidden="false" customHeight="true" outlineLevel="0" collapsed="false"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customFormat="false" ht="15.75" hidden="false" customHeight="true" outlineLevel="0" collapsed="false"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customFormat="false" ht="15.75" hidden="false" customHeight="true" outlineLevel="0" collapsed="false"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customFormat="false" ht="15.75" hidden="false" customHeight="true" outlineLevel="0" collapsed="false"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customFormat="false" ht="15.75" hidden="false" customHeight="true" outlineLevel="0" collapsed="false"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customFormat="false" ht="15.75" hidden="false" customHeight="true" outlineLevel="0" collapsed="false"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customFormat="false" ht="15.75" hidden="false" customHeight="true" outlineLevel="0" collapsed="false"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customFormat="false" ht="15.75" hidden="false" customHeight="true" outlineLevel="0" collapsed="false"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customFormat="false" ht="15.75" hidden="false" customHeight="true" outlineLevel="0" collapsed="false"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customFormat="false" ht="15.75" hidden="false" customHeight="true" outlineLevel="0" collapsed="false"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customFormat="false" ht="15.75" hidden="false" customHeight="true" outlineLevel="0" collapsed="false"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customFormat="false" ht="15.75" hidden="false" customHeight="true" outlineLevel="0" collapsed="false"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customFormat="false" ht="15.75" hidden="false" customHeight="true" outlineLevel="0" collapsed="false"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customFormat="false" ht="15.75" hidden="false" customHeight="true" outlineLevel="0" collapsed="false"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customFormat="false" ht="15.75" hidden="false" customHeight="true" outlineLevel="0" collapsed="false"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customFormat="false" ht="15.75" hidden="false" customHeight="true" outlineLevel="0" collapsed="false"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customFormat="false" ht="15.75" hidden="false" customHeight="true" outlineLevel="0" collapsed="false"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customFormat="false" ht="15.75" hidden="false" customHeight="true" outlineLevel="0" collapsed="false"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customFormat="false" ht="15.75" hidden="false" customHeight="true" outlineLevel="0" collapsed="false"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customFormat="false" ht="15.75" hidden="false" customHeight="true" outlineLevel="0" collapsed="false"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customFormat="false" ht="15.75" hidden="false" customHeight="true" outlineLevel="0" collapsed="false"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customFormat="false" ht="15.75" hidden="false" customHeight="true" outlineLevel="0" collapsed="false"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customFormat="false" ht="15.75" hidden="false" customHeight="true" outlineLevel="0" collapsed="false"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customFormat="false" ht="15.75" hidden="false" customHeight="true" outlineLevel="0" collapsed="false"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customFormat="false" ht="15.75" hidden="false" customHeight="true" outlineLevel="0" collapsed="false"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customFormat="false" ht="15.75" hidden="false" customHeight="true" outlineLevel="0" collapsed="false"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customFormat="false" ht="15.75" hidden="false" customHeight="true" outlineLevel="0" collapsed="false"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customFormat="false" ht="15.75" hidden="false" customHeight="true" outlineLevel="0" collapsed="false"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customFormat="false" ht="15.75" hidden="false" customHeight="true" outlineLevel="0" collapsed="false"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customFormat="false" ht="15.75" hidden="false" customHeight="true" outlineLevel="0" collapsed="false"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customFormat="false" ht="15.75" hidden="false" customHeight="true" outlineLevel="0" collapsed="false"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customFormat="false" ht="15.75" hidden="false" customHeight="true" outlineLevel="0" collapsed="false"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customFormat="false" ht="15.75" hidden="false" customHeight="true" outlineLevel="0" collapsed="false"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customFormat="false" ht="15.75" hidden="false" customHeight="true" outlineLevel="0" collapsed="false"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customFormat="false" ht="15.75" hidden="false" customHeight="true" outlineLevel="0" collapsed="false"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customFormat="false" ht="15.75" hidden="false" customHeight="true" outlineLevel="0" collapsed="false"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customFormat="false" ht="15.75" hidden="false" customHeight="true" outlineLevel="0" collapsed="false"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customFormat="false" ht="15.75" hidden="false" customHeight="true" outlineLevel="0" collapsed="false"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customFormat="false" ht="15.75" hidden="false" customHeight="true" outlineLevel="0" collapsed="false"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customFormat="false" ht="15.75" hidden="false" customHeight="true" outlineLevel="0" collapsed="false"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customFormat="false" ht="15.75" hidden="false" customHeight="true" outlineLevel="0" collapsed="false"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customFormat="false" ht="15.75" hidden="false" customHeight="true" outlineLevel="0" collapsed="false"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customFormat="false" ht="15.75" hidden="false" customHeight="true" outlineLevel="0" collapsed="false"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customFormat="false" ht="15.75" hidden="false" customHeight="true" outlineLevel="0" collapsed="false"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customFormat="false" ht="15.75" hidden="false" customHeight="true" outlineLevel="0" collapsed="false"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customFormat="false" ht="15.75" hidden="false" customHeight="true" outlineLevel="0" collapsed="false"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customFormat="false" ht="15.75" hidden="false" customHeight="true" outlineLevel="0" collapsed="false"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customFormat="false" ht="15.75" hidden="false" customHeight="true" outlineLevel="0" collapsed="false"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customFormat="false" ht="15.75" hidden="false" customHeight="true" outlineLevel="0" collapsed="false"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customFormat="false" ht="15.75" hidden="false" customHeight="true" outlineLevel="0" collapsed="false"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customFormat="false" ht="15.75" hidden="false" customHeight="true" outlineLevel="0" collapsed="false"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customFormat="false" ht="15.75" hidden="false" customHeight="true" outlineLevel="0" collapsed="false"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customFormat="false" ht="15.75" hidden="false" customHeight="true" outlineLevel="0" collapsed="false"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customFormat="false" ht="15.75" hidden="false" customHeight="true" outlineLevel="0" collapsed="false"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customFormat="false" ht="15.75" hidden="false" customHeight="true" outlineLevel="0" collapsed="false"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customFormat="false" ht="15.75" hidden="false" customHeight="true" outlineLevel="0" collapsed="false"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customFormat="false" ht="15.75" hidden="false" customHeight="true" outlineLevel="0" collapsed="false"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customFormat="false" ht="15.75" hidden="false" customHeight="true" outlineLevel="0" collapsed="false"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customFormat="false" ht="15.75" hidden="false" customHeight="true" outlineLevel="0" collapsed="false"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customFormat="false" ht="15.75" hidden="false" customHeight="true" outlineLevel="0" collapsed="false"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customFormat="false" ht="15.75" hidden="false" customHeight="true" outlineLevel="0" collapsed="false"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customFormat="false" ht="15.75" hidden="false" customHeight="true" outlineLevel="0" collapsed="false"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customFormat="false" ht="15.75" hidden="false" customHeight="true" outlineLevel="0" collapsed="false"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customFormat="false" ht="15.75" hidden="false" customHeight="true" outlineLevel="0" collapsed="false"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customFormat="false" ht="15.75" hidden="false" customHeight="true" outlineLevel="0" collapsed="false"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customFormat="false" ht="15.75" hidden="false" customHeight="true" outlineLevel="0" collapsed="false"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customFormat="false" ht="15.75" hidden="false" customHeight="true" outlineLevel="0" collapsed="false"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customFormat="false" ht="15.75" hidden="false" customHeight="true" outlineLevel="0" collapsed="false"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customFormat="false" ht="15.75" hidden="false" customHeight="true" outlineLevel="0" collapsed="false"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customFormat="false" ht="15.75" hidden="false" customHeight="true" outlineLevel="0" collapsed="false"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customFormat="false" ht="15.75" hidden="false" customHeight="true" outlineLevel="0" collapsed="false"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customFormat="false" ht="15.75" hidden="false" customHeight="true" outlineLevel="0" collapsed="false"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customFormat="false" ht="15.75" hidden="false" customHeight="true" outlineLevel="0" collapsed="false"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customFormat="false" ht="15.75" hidden="false" customHeight="true" outlineLevel="0" collapsed="false"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customFormat="false" ht="15.75" hidden="false" customHeight="true" outlineLevel="0" collapsed="false"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customFormat="false" ht="15.75" hidden="false" customHeight="true" outlineLevel="0" collapsed="false"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customFormat="false" ht="15.75" hidden="false" customHeight="true" outlineLevel="0" collapsed="false"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customFormat="false" ht="15.75" hidden="false" customHeight="true" outlineLevel="0" collapsed="false"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customFormat="false" ht="15.75" hidden="false" customHeight="true" outlineLevel="0" collapsed="false"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customFormat="false" ht="15.75" hidden="false" customHeight="true" outlineLevel="0" collapsed="false"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customFormat="false" ht="15.75" hidden="false" customHeight="true" outlineLevel="0" collapsed="false"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customFormat="false" ht="15.75" hidden="false" customHeight="true" outlineLevel="0" collapsed="false"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customFormat="false" ht="15.75" hidden="false" customHeight="true" outlineLevel="0" collapsed="false"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customFormat="false" ht="15.75" hidden="false" customHeight="true" outlineLevel="0" collapsed="false"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customFormat="false" ht="15.75" hidden="false" customHeight="true" outlineLevel="0" collapsed="false"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customFormat="false" ht="15.75" hidden="false" customHeight="true" outlineLevel="0" collapsed="false"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customFormat="false" ht="15.75" hidden="false" customHeight="true" outlineLevel="0" collapsed="false"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customFormat="false" ht="15.75" hidden="false" customHeight="true" outlineLevel="0" collapsed="false"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customFormat="false" ht="15.75" hidden="false" customHeight="true" outlineLevel="0" collapsed="false"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customFormat="false" ht="15.75" hidden="false" customHeight="true" outlineLevel="0" collapsed="false"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customFormat="false" ht="15.75" hidden="false" customHeight="true" outlineLevel="0" collapsed="false"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customFormat="false" ht="15.75" hidden="false" customHeight="true" outlineLevel="0" collapsed="false"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customFormat="false" ht="15.75" hidden="false" customHeight="true" outlineLevel="0" collapsed="false"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customFormat="false" ht="15.75" hidden="false" customHeight="true" outlineLevel="0" collapsed="false"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customFormat="false" ht="15.75" hidden="false" customHeight="true" outlineLevel="0" collapsed="false"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customFormat="false" ht="15.75" hidden="false" customHeight="true" outlineLevel="0" collapsed="false"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customFormat="false" ht="15.75" hidden="false" customHeight="true" outlineLevel="0" collapsed="false"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customFormat="false" ht="15.75" hidden="false" customHeight="true" outlineLevel="0" collapsed="false"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customFormat="false" ht="15.75" hidden="false" customHeight="true" outlineLevel="0" collapsed="false"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customFormat="false" ht="15.75" hidden="false" customHeight="true" outlineLevel="0" collapsed="false"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customFormat="false" ht="15.75" hidden="false" customHeight="true" outlineLevel="0" collapsed="false"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customFormat="false" ht="15.75" hidden="false" customHeight="true" outlineLevel="0" collapsed="false"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customFormat="false" ht="15.75" hidden="false" customHeight="true" outlineLevel="0" collapsed="false"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customFormat="false" ht="15.75" hidden="false" customHeight="true" outlineLevel="0" collapsed="false"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customFormat="false" ht="15.75" hidden="false" customHeight="true" outlineLevel="0" collapsed="false"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customFormat="false" ht="15.75" hidden="false" customHeight="true" outlineLevel="0" collapsed="false"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customFormat="false" ht="15.75" hidden="false" customHeight="true" outlineLevel="0" collapsed="false"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customFormat="false" ht="15.75" hidden="false" customHeight="true" outlineLevel="0" collapsed="false"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customFormat="false" ht="15.75" hidden="false" customHeight="true" outlineLevel="0" collapsed="false"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customFormat="false" ht="15.75" hidden="false" customHeight="true" outlineLevel="0" collapsed="false"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customFormat="false" ht="15.75" hidden="false" customHeight="true" outlineLevel="0" collapsed="false"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customFormat="false" ht="15.75" hidden="false" customHeight="true" outlineLevel="0" collapsed="false"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customFormat="false" ht="15.75" hidden="false" customHeight="true" outlineLevel="0" collapsed="false"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customFormat="false" ht="15.75" hidden="false" customHeight="true" outlineLevel="0" collapsed="false"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customFormat="false" ht="15.75" hidden="false" customHeight="true" outlineLevel="0" collapsed="false"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customFormat="false" ht="15.75" hidden="false" customHeight="true" outlineLevel="0" collapsed="false"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customFormat="false" ht="15.75" hidden="false" customHeight="true" outlineLevel="0" collapsed="false"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customFormat="false" ht="15.75" hidden="false" customHeight="true" outlineLevel="0" collapsed="false"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customFormat="false" ht="15.75" hidden="false" customHeight="true" outlineLevel="0" collapsed="false"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customFormat="false" ht="15.75" hidden="false" customHeight="true" outlineLevel="0" collapsed="false"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customFormat="false" ht="15.75" hidden="false" customHeight="true" outlineLevel="0" collapsed="false"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customFormat="false" ht="15.75" hidden="false" customHeight="true" outlineLevel="0" collapsed="false"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customFormat="false" ht="15.75" hidden="false" customHeight="true" outlineLevel="0" collapsed="false"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customFormat="false" ht="15.75" hidden="false" customHeight="true" outlineLevel="0" collapsed="false"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customFormat="false" ht="15.75" hidden="false" customHeight="true" outlineLevel="0" collapsed="false"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customFormat="false" ht="15.75" hidden="false" customHeight="true" outlineLevel="0" collapsed="false"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customFormat="false" ht="15.75" hidden="false" customHeight="true" outlineLevel="0" collapsed="false"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customFormat="false" ht="15.75" hidden="false" customHeight="true" outlineLevel="0" collapsed="false"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customFormat="false" ht="15.75" hidden="false" customHeight="true" outlineLevel="0" collapsed="false"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customFormat="false" ht="15.75" hidden="false" customHeight="true" outlineLevel="0" collapsed="false"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customFormat="false" ht="15.75" hidden="false" customHeight="true" outlineLevel="0" collapsed="false"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customFormat="false" ht="15.75" hidden="false" customHeight="true" outlineLevel="0" collapsed="false"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customFormat="false" ht="15.75" hidden="false" customHeight="true" outlineLevel="0" collapsed="false"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customFormat="false" ht="15.75" hidden="false" customHeight="true" outlineLevel="0" collapsed="false"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customFormat="false" ht="15.75" hidden="false" customHeight="true" outlineLevel="0" collapsed="false"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customFormat="false" ht="15.75" hidden="false" customHeight="true" outlineLevel="0" collapsed="false"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customFormat="false" ht="15.75" hidden="false" customHeight="true" outlineLevel="0" collapsed="false"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customFormat="false" ht="15.75" hidden="false" customHeight="true" outlineLevel="0" collapsed="false"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customFormat="false" ht="15.75" hidden="false" customHeight="true" outlineLevel="0" collapsed="false"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customFormat="false" ht="15.75" hidden="false" customHeight="true" outlineLevel="0" collapsed="false"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customFormat="false" ht="15.75" hidden="false" customHeight="true" outlineLevel="0" collapsed="false"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customFormat="false" ht="15.75" hidden="false" customHeight="true" outlineLevel="0" collapsed="false"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customFormat="false" ht="15.75" hidden="false" customHeight="true" outlineLevel="0" collapsed="false"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customFormat="false" ht="15.75" hidden="false" customHeight="true" outlineLevel="0" collapsed="false"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customFormat="false" ht="15.75" hidden="false" customHeight="true" outlineLevel="0" collapsed="false"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customFormat="false" ht="15.75" hidden="false" customHeight="true" outlineLevel="0" collapsed="false"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customFormat="false" ht="15.75" hidden="false" customHeight="true" outlineLevel="0" collapsed="false"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customFormat="false" ht="15.75" hidden="false" customHeight="true" outlineLevel="0" collapsed="false"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customFormat="false" ht="15.75" hidden="false" customHeight="true" outlineLevel="0" collapsed="false"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customFormat="false" ht="15.75" hidden="false" customHeight="true" outlineLevel="0" collapsed="false"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customFormat="false" ht="15.75" hidden="false" customHeight="true" outlineLevel="0" collapsed="false"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customFormat="false" ht="15.75" hidden="false" customHeight="true" outlineLevel="0" collapsed="false"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customFormat="false" ht="15.75" hidden="false" customHeight="true" outlineLevel="0" collapsed="false"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customFormat="false" ht="15.75" hidden="false" customHeight="true" outlineLevel="0" collapsed="false"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customFormat="false" ht="15.75" hidden="false" customHeight="true" outlineLevel="0" collapsed="false"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customFormat="false" ht="15.75" hidden="false" customHeight="true" outlineLevel="0" collapsed="false"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customFormat="false" ht="15.75" hidden="false" customHeight="true" outlineLevel="0" collapsed="false"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customFormat="false" ht="15.75" hidden="false" customHeight="true" outlineLevel="0" collapsed="false"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customFormat="false" ht="15.75" hidden="false" customHeight="true" outlineLevel="0" collapsed="false"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customFormat="false" ht="15.75" hidden="false" customHeight="true" outlineLevel="0" collapsed="false"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customFormat="false" ht="15.75" hidden="false" customHeight="true" outlineLevel="0" collapsed="false"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customFormat="false" ht="15.75" hidden="false" customHeight="true" outlineLevel="0" collapsed="false"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customFormat="false" ht="15.75" hidden="false" customHeight="true" outlineLevel="0" collapsed="false"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customFormat="false" ht="15.75" hidden="false" customHeight="true" outlineLevel="0" collapsed="false"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customFormat="false" ht="15.75" hidden="false" customHeight="true" outlineLevel="0" collapsed="false"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customFormat="false" ht="15.75" hidden="false" customHeight="true" outlineLevel="0" collapsed="false"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customFormat="false" ht="15.75" hidden="false" customHeight="true" outlineLevel="0" collapsed="false"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customFormat="false" ht="15.75" hidden="false" customHeight="true" outlineLevel="0" collapsed="false"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customFormat="false" ht="15.75" hidden="false" customHeight="true" outlineLevel="0" collapsed="false"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customFormat="false" ht="15.75" hidden="false" customHeight="true" outlineLevel="0" collapsed="false"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customFormat="false" ht="15.75" hidden="false" customHeight="true" outlineLevel="0" collapsed="false"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customFormat="false" ht="15.75" hidden="false" customHeight="true" outlineLevel="0" collapsed="false"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customFormat="false" ht="15.75" hidden="false" customHeight="true" outlineLevel="0" collapsed="false"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customFormat="false" ht="15.75" hidden="false" customHeight="true" outlineLevel="0" collapsed="false"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customFormat="false" ht="15.75" hidden="false" customHeight="true" outlineLevel="0" collapsed="false"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customFormat="false" ht="15.75" hidden="false" customHeight="true" outlineLevel="0" collapsed="false"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customFormat="false" ht="15.75" hidden="false" customHeight="true" outlineLevel="0" collapsed="false"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customFormat="false" ht="15.75" hidden="false" customHeight="true" outlineLevel="0" collapsed="false"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customFormat="false" ht="15.75" hidden="false" customHeight="true" outlineLevel="0" collapsed="false"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customFormat="false" ht="15.75" hidden="false" customHeight="true" outlineLevel="0" collapsed="false"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customFormat="false" ht="15.75" hidden="false" customHeight="true" outlineLevel="0" collapsed="false"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customFormat="false" ht="15.75" hidden="false" customHeight="true" outlineLevel="0" collapsed="false"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customFormat="false" ht="15.75" hidden="false" customHeight="true" outlineLevel="0" collapsed="false"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customFormat="false" ht="15.75" hidden="false" customHeight="true" outlineLevel="0" collapsed="false"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customFormat="false" ht="15.75" hidden="false" customHeight="true" outlineLevel="0" collapsed="false"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customFormat="false" ht="15.75" hidden="false" customHeight="true" outlineLevel="0" collapsed="false"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customFormat="false" ht="15.75" hidden="false" customHeight="true" outlineLevel="0" collapsed="false"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customFormat="false" ht="15.75" hidden="false" customHeight="true" outlineLevel="0" collapsed="false"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customFormat="false" ht="15.75" hidden="false" customHeight="true" outlineLevel="0" collapsed="false"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customFormat="false" ht="15.75" hidden="false" customHeight="true" outlineLevel="0" collapsed="false"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customFormat="false" ht="15.75" hidden="false" customHeight="true" outlineLevel="0" collapsed="false"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customFormat="false" ht="15.75" hidden="false" customHeight="true" outlineLevel="0" collapsed="false"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customFormat="false" ht="15.75" hidden="false" customHeight="true" outlineLevel="0" collapsed="false"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customFormat="false" ht="15.75" hidden="false" customHeight="true" outlineLevel="0" collapsed="false"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customFormat="false" ht="15.75" hidden="false" customHeight="true" outlineLevel="0" collapsed="false"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customFormat="false" ht="15.75" hidden="false" customHeight="true" outlineLevel="0" collapsed="false"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customFormat="false" ht="15.75" hidden="false" customHeight="true" outlineLevel="0" collapsed="false"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customFormat="false" ht="15.75" hidden="false" customHeight="true" outlineLevel="0" collapsed="false"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customFormat="false" ht="15.75" hidden="false" customHeight="true" outlineLevel="0" collapsed="false"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customFormat="false" ht="15.75" hidden="false" customHeight="true" outlineLevel="0" collapsed="false"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customFormat="false" ht="15.75" hidden="false" customHeight="true" outlineLevel="0" collapsed="false"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customFormat="false" ht="15.75" hidden="false" customHeight="true" outlineLevel="0" collapsed="false"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customFormat="false" ht="15.75" hidden="false" customHeight="true" outlineLevel="0" collapsed="false"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customFormat="false" ht="15.75" hidden="false" customHeight="true" outlineLevel="0" collapsed="false"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customFormat="false" ht="15.75" hidden="false" customHeight="true" outlineLevel="0" collapsed="false"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customFormat="false" ht="15.75" hidden="false" customHeight="true" outlineLevel="0" collapsed="false"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customFormat="false" ht="15.75" hidden="false" customHeight="true" outlineLevel="0" collapsed="false"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customFormat="false" ht="15.75" hidden="false" customHeight="true" outlineLevel="0" collapsed="false"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customFormat="false" ht="15.75" hidden="false" customHeight="true" outlineLevel="0" collapsed="false"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customFormat="false" ht="15.75" hidden="false" customHeight="true" outlineLevel="0" collapsed="false"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customFormat="false" ht="15.75" hidden="false" customHeight="true" outlineLevel="0" collapsed="false"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customFormat="false" ht="15.75" hidden="false" customHeight="true" outlineLevel="0" collapsed="false"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customFormat="false" ht="15.75" hidden="false" customHeight="true" outlineLevel="0" collapsed="false"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customFormat="false" ht="15.75" hidden="false" customHeight="true" outlineLevel="0" collapsed="false"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customFormat="false" ht="15.75" hidden="false" customHeight="true" outlineLevel="0" collapsed="false"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customFormat="false" ht="15.75" hidden="false" customHeight="true" outlineLevel="0" collapsed="false"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customFormat="false" ht="15.75" hidden="false" customHeight="true" outlineLevel="0" collapsed="false"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customFormat="false" ht="15.75" hidden="false" customHeight="true" outlineLevel="0" collapsed="false"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customFormat="false" ht="15.75" hidden="false" customHeight="true" outlineLevel="0" collapsed="false"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customFormat="false" ht="15.75" hidden="false" customHeight="true" outlineLevel="0" collapsed="false"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customFormat="false" ht="15.75" hidden="false" customHeight="true" outlineLevel="0" collapsed="false"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customFormat="false" ht="15.75" hidden="false" customHeight="true" outlineLevel="0" collapsed="false"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customFormat="false" ht="15.75" hidden="false" customHeight="true" outlineLevel="0" collapsed="false"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customFormat="false" ht="15.75" hidden="false" customHeight="true" outlineLevel="0" collapsed="false"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customFormat="false" ht="15.75" hidden="false" customHeight="true" outlineLevel="0" collapsed="false"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customFormat="false" ht="15.75" hidden="false" customHeight="true" outlineLevel="0" collapsed="false"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customFormat="false" ht="15.75" hidden="false" customHeight="true" outlineLevel="0" collapsed="false"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customFormat="false" ht="15.75" hidden="false" customHeight="true" outlineLevel="0" collapsed="false"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customFormat="false" ht="15.75" hidden="false" customHeight="true" outlineLevel="0" collapsed="false"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customFormat="false" ht="15.75" hidden="false" customHeight="true" outlineLevel="0" collapsed="false"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customFormat="false" ht="15.75" hidden="false" customHeight="true" outlineLevel="0" collapsed="false"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customFormat="false" ht="15.75" hidden="false" customHeight="true" outlineLevel="0" collapsed="false"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customFormat="false" ht="15.75" hidden="false" customHeight="true" outlineLevel="0" collapsed="false"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customFormat="false" ht="15.75" hidden="false" customHeight="true" outlineLevel="0" collapsed="false"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customFormat="false" ht="15.75" hidden="false" customHeight="true" outlineLevel="0" collapsed="false"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customFormat="false" ht="15.75" hidden="false" customHeight="true" outlineLevel="0" collapsed="false"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customFormat="false" ht="15.75" hidden="false" customHeight="true" outlineLevel="0" collapsed="false"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customFormat="false" ht="15.75" hidden="false" customHeight="true" outlineLevel="0" collapsed="false"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customFormat="false" ht="15.75" hidden="false" customHeight="true" outlineLevel="0" collapsed="false"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customFormat="false" ht="15.75" hidden="false" customHeight="true" outlineLevel="0" collapsed="false"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customFormat="false" ht="15.75" hidden="false" customHeight="true" outlineLevel="0" collapsed="false"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customFormat="false" ht="15.75" hidden="false" customHeight="true" outlineLevel="0" collapsed="false"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customFormat="false" ht="15.75" hidden="false" customHeight="true" outlineLevel="0" collapsed="false"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customFormat="false" ht="15.75" hidden="false" customHeight="true" outlineLevel="0" collapsed="false"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customFormat="false" ht="15.75" hidden="false" customHeight="true" outlineLevel="0" collapsed="false"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customFormat="false" ht="15.75" hidden="false" customHeight="true" outlineLevel="0" collapsed="false"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customFormat="false" ht="15.75" hidden="false" customHeight="true" outlineLevel="0" collapsed="false"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customFormat="false" ht="15.75" hidden="false" customHeight="true" outlineLevel="0" collapsed="false"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customFormat="false" ht="15.75" hidden="false" customHeight="true" outlineLevel="0" collapsed="false"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customFormat="false" ht="15.75" hidden="false" customHeight="true" outlineLevel="0" collapsed="false"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customFormat="false" ht="15.75" hidden="false" customHeight="true" outlineLevel="0" collapsed="false"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customFormat="false" ht="15.75" hidden="false" customHeight="true" outlineLevel="0" collapsed="false"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customFormat="false" ht="15.75" hidden="false" customHeight="true" outlineLevel="0" collapsed="false"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customFormat="false" ht="15.75" hidden="false" customHeight="true" outlineLevel="0" collapsed="false"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customFormat="false" ht="15.75" hidden="false" customHeight="true" outlineLevel="0" collapsed="false"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customFormat="false" ht="15.75" hidden="false" customHeight="true" outlineLevel="0" collapsed="false"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customFormat="false" ht="15.75" hidden="false" customHeight="true" outlineLevel="0" collapsed="false"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customFormat="false" ht="15.75" hidden="false" customHeight="true" outlineLevel="0" collapsed="false"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customFormat="false" ht="15.75" hidden="false" customHeight="true" outlineLevel="0" collapsed="false"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customFormat="false" ht="15.75" hidden="false" customHeight="true" outlineLevel="0" collapsed="false"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customFormat="false" ht="15.75" hidden="false" customHeight="true" outlineLevel="0" collapsed="false"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customFormat="false" ht="15.75" hidden="false" customHeight="true" outlineLevel="0" collapsed="false"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customFormat="false" ht="15.75" hidden="false" customHeight="true" outlineLevel="0" collapsed="false"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customFormat="false" ht="15.75" hidden="false" customHeight="true" outlineLevel="0" collapsed="false"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customFormat="false" ht="15.75" hidden="false" customHeight="true" outlineLevel="0" collapsed="false"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customFormat="false" ht="15.75" hidden="false" customHeight="true" outlineLevel="0" collapsed="false"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customFormat="false" ht="15.75" hidden="false" customHeight="true" outlineLevel="0" collapsed="false"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customFormat="false" ht="15.75" hidden="false" customHeight="true" outlineLevel="0" collapsed="false"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customFormat="false" ht="15.75" hidden="false" customHeight="true" outlineLevel="0" collapsed="false"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customFormat="false" ht="15.75" hidden="false" customHeight="true" outlineLevel="0" collapsed="false"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customFormat="false" ht="15.75" hidden="false" customHeight="true" outlineLevel="0" collapsed="false"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customFormat="false" ht="15.75" hidden="false" customHeight="true" outlineLevel="0" collapsed="false"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customFormat="false" ht="15.75" hidden="false" customHeight="true" outlineLevel="0" collapsed="false"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customFormat="false" ht="15.75" hidden="false" customHeight="true" outlineLevel="0" collapsed="false"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customFormat="false" ht="15.75" hidden="false" customHeight="true" outlineLevel="0" collapsed="false"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customFormat="false" ht="15.75" hidden="false" customHeight="true" outlineLevel="0" collapsed="false"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customFormat="false" ht="15.75" hidden="false" customHeight="true" outlineLevel="0" collapsed="false"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customFormat="false" ht="15.75" hidden="false" customHeight="true" outlineLevel="0" collapsed="false"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customFormat="false" ht="15.75" hidden="false" customHeight="true" outlineLevel="0" collapsed="false"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customFormat="false" ht="15.75" hidden="false" customHeight="true" outlineLevel="0" collapsed="false"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customFormat="false" ht="15.75" hidden="false" customHeight="true" outlineLevel="0" collapsed="false"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customFormat="false" ht="15.75" hidden="false" customHeight="true" outlineLevel="0" collapsed="false"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customFormat="false" ht="15.75" hidden="false" customHeight="true" outlineLevel="0" collapsed="false"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customFormat="false" ht="15.75" hidden="false" customHeight="true" outlineLevel="0" collapsed="false"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customFormat="false" ht="15.75" hidden="false" customHeight="true" outlineLevel="0" collapsed="false"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customFormat="false" ht="15.75" hidden="false" customHeight="true" outlineLevel="0" collapsed="false"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customFormat="false" ht="15.75" hidden="false" customHeight="true" outlineLevel="0" collapsed="false"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customFormat="false" ht="15.75" hidden="false" customHeight="true" outlineLevel="0" collapsed="false"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customFormat="false" ht="15.75" hidden="false" customHeight="true" outlineLevel="0" collapsed="false"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customFormat="false" ht="15.75" hidden="false" customHeight="true" outlineLevel="0" collapsed="false"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customFormat="false" ht="15.75" hidden="false" customHeight="true" outlineLevel="0" collapsed="false"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customFormat="false" ht="15.75" hidden="false" customHeight="true" outlineLevel="0" collapsed="false"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customFormat="false" ht="15.75" hidden="false" customHeight="true" outlineLevel="0" collapsed="false"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customFormat="false" ht="15.75" hidden="false" customHeight="true" outlineLevel="0" collapsed="false"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customFormat="false" ht="15.75" hidden="false" customHeight="true" outlineLevel="0" collapsed="false"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customFormat="false" ht="15.75" hidden="false" customHeight="true" outlineLevel="0" collapsed="false"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customFormat="false" ht="15.75" hidden="false" customHeight="true" outlineLevel="0" collapsed="false"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customFormat="false" ht="15.75" hidden="false" customHeight="true" outlineLevel="0" collapsed="false"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customFormat="false" ht="15.75" hidden="false" customHeight="true" outlineLevel="0" collapsed="false"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customFormat="false" ht="15.75" hidden="false" customHeight="true" outlineLevel="0" collapsed="false"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customFormat="false" ht="15.75" hidden="false" customHeight="true" outlineLevel="0" collapsed="false"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customFormat="false" ht="15.75" hidden="false" customHeight="true" outlineLevel="0" collapsed="false"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customFormat="false" ht="15.75" hidden="false" customHeight="true" outlineLevel="0" collapsed="false"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customFormat="false" ht="15.75" hidden="false" customHeight="true" outlineLevel="0" collapsed="false"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customFormat="false" ht="15.75" hidden="false" customHeight="true" outlineLevel="0" collapsed="false"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customFormat="false" ht="15.75" hidden="false" customHeight="true" outlineLevel="0" collapsed="false"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customFormat="false" ht="15.75" hidden="false" customHeight="true" outlineLevel="0" collapsed="false"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customFormat="false" ht="15.75" hidden="false" customHeight="true" outlineLevel="0" collapsed="false"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customFormat="false" ht="15.75" hidden="false" customHeight="true" outlineLevel="0" collapsed="false"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customFormat="false" ht="15.75" hidden="false" customHeight="true" outlineLevel="0" collapsed="false"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customFormat="false" ht="15.75" hidden="false" customHeight="true" outlineLevel="0" collapsed="false"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customFormat="false" ht="15.75" hidden="false" customHeight="true" outlineLevel="0" collapsed="false"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customFormat="false" ht="15.75" hidden="false" customHeight="true" outlineLevel="0" collapsed="false"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customFormat="false" ht="15.75" hidden="false" customHeight="true" outlineLevel="0" collapsed="false"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customFormat="false" ht="15.75" hidden="false" customHeight="true" outlineLevel="0" collapsed="false"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customFormat="false" ht="15.75" hidden="false" customHeight="true" outlineLevel="0" collapsed="false"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customFormat="false" ht="15.75" hidden="false" customHeight="true" outlineLevel="0" collapsed="false"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customFormat="false" ht="15.75" hidden="false" customHeight="true" outlineLevel="0" collapsed="false"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customFormat="false" ht="15.75" hidden="false" customHeight="true" outlineLevel="0" collapsed="false"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customFormat="false" ht="15.75" hidden="false" customHeight="true" outlineLevel="0" collapsed="false"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customFormat="false" ht="15.75" hidden="false" customHeight="true" outlineLevel="0" collapsed="false"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customFormat="false" ht="15.75" hidden="false" customHeight="true" outlineLevel="0" collapsed="false"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customFormat="false" ht="15.75" hidden="false" customHeight="true" outlineLevel="0" collapsed="false"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customFormat="false" ht="15.75" hidden="false" customHeight="true" outlineLevel="0" collapsed="false"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customFormat="false" ht="15.75" hidden="false" customHeight="true" outlineLevel="0" collapsed="false"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customFormat="false" ht="15.75" hidden="false" customHeight="true" outlineLevel="0" collapsed="false"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customFormat="false" ht="15.75" hidden="false" customHeight="true" outlineLevel="0" collapsed="false"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customFormat="false" ht="15.75" hidden="false" customHeight="true" outlineLevel="0" collapsed="false"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customFormat="false" ht="15.75" hidden="false" customHeight="true" outlineLevel="0" collapsed="false"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customFormat="false" ht="15.75" hidden="false" customHeight="true" outlineLevel="0" collapsed="false"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customFormat="false" ht="15.75" hidden="false" customHeight="true" outlineLevel="0" collapsed="false"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customFormat="false" ht="15.75" hidden="false" customHeight="true" outlineLevel="0" collapsed="false"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customFormat="false" ht="15.75" hidden="false" customHeight="true" outlineLevel="0" collapsed="false"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customFormat="false" ht="15.75" hidden="false" customHeight="true" outlineLevel="0" collapsed="false"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customFormat="false" ht="15.75" hidden="false" customHeight="true" outlineLevel="0" collapsed="false"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customFormat="false" ht="15.75" hidden="false" customHeight="true" outlineLevel="0" collapsed="false"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customFormat="false" ht="15.75" hidden="false" customHeight="true" outlineLevel="0" collapsed="false"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customFormat="false" ht="15.75" hidden="false" customHeight="true" outlineLevel="0" collapsed="false"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customFormat="false" ht="15.75" hidden="false" customHeight="true" outlineLevel="0" collapsed="false"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customFormat="false" ht="15.75" hidden="false" customHeight="true" outlineLevel="0" collapsed="false"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customFormat="false" ht="15.75" hidden="false" customHeight="true" outlineLevel="0" collapsed="false"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customFormat="false" ht="15.75" hidden="false" customHeight="true" outlineLevel="0" collapsed="false"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customFormat="false" ht="15.75" hidden="false" customHeight="true" outlineLevel="0" collapsed="false"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customFormat="false" ht="15.75" hidden="false" customHeight="true" outlineLevel="0" collapsed="false"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customFormat="false" ht="15.75" hidden="false" customHeight="true" outlineLevel="0" collapsed="false"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customFormat="false" ht="15.75" hidden="false" customHeight="true" outlineLevel="0" collapsed="false"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customFormat="false" ht="15.75" hidden="false" customHeight="true" outlineLevel="0" collapsed="false"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customFormat="false" ht="15.75" hidden="false" customHeight="true" outlineLevel="0" collapsed="false"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customFormat="false" ht="15.75" hidden="false" customHeight="true" outlineLevel="0" collapsed="false"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customFormat="false" ht="15.75" hidden="false" customHeight="true" outlineLevel="0" collapsed="false"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customFormat="false" ht="15.75" hidden="false" customHeight="true" outlineLevel="0" collapsed="false"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customFormat="false" ht="15.75" hidden="false" customHeight="true" outlineLevel="0" collapsed="false"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customFormat="false" ht="15.75" hidden="false" customHeight="true" outlineLevel="0" collapsed="false"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customFormat="false" ht="15.75" hidden="false" customHeight="true" outlineLevel="0" collapsed="false"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customFormat="false" ht="15.75" hidden="false" customHeight="true" outlineLevel="0" collapsed="false"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customFormat="false" ht="15.75" hidden="false" customHeight="true" outlineLevel="0" collapsed="false"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customFormat="false" ht="15.75" hidden="false" customHeight="true" outlineLevel="0" collapsed="false"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customFormat="false" ht="15.75" hidden="false" customHeight="true" outlineLevel="0" collapsed="false"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customFormat="false" ht="15.75" hidden="false" customHeight="true" outlineLevel="0" collapsed="false"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customFormat="false" ht="15.75" hidden="false" customHeight="true" outlineLevel="0" collapsed="false"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customFormat="false" ht="15.75" hidden="false" customHeight="true" outlineLevel="0" collapsed="false"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customFormat="false" ht="15.75" hidden="false" customHeight="true" outlineLevel="0" collapsed="false"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customFormat="false" ht="15.75" hidden="false" customHeight="true" outlineLevel="0" collapsed="false"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customFormat="false" ht="15.75" hidden="false" customHeight="true" outlineLevel="0" collapsed="false"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customFormat="false" ht="15.75" hidden="false" customHeight="true" outlineLevel="0" collapsed="false"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customFormat="false" ht="15.75" hidden="false" customHeight="true" outlineLevel="0" collapsed="false"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customFormat="false" ht="15.75" hidden="false" customHeight="true" outlineLevel="0" collapsed="false"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customFormat="false" ht="15.75" hidden="false" customHeight="true" outlineLevel="0" collapsed="false"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customFormat="false" ht="15.75" hidden="false" customHeight="true" outlineLevel="0" collapsed="false"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customFormat="false" ht="15.75" hidden="false" customHeight="true" outlineLevel="0" collapsed="false"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customFormat="false" ht="15.75" hidden="false" customHeight="true" outlineLevel="0" collapsed="false"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customFormat="false" ht="15.75" hidden="false" customHeight="true" outlineLevel="0" collapsed="false"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customFormat="false" ht="15.75" hidden="false" customHeight="true" outlineLevel="0" collapsed="false"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customFormat="false" ht="15.75" hidden="false" customHeight="true" outlineLevel="0" collapsed="false"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customFormat="false" ht="15.75" hidden="false" customHeight="true" outlineLevel="0" collapsed="false"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customFormat="false" ht="15.75" hidden="false" customHeight="true" outlineLevel="0" collapsed="false"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customFormat="false" ht="15.75" hidden="false" customHeight="true" outlineLevel="0" collapsed="false"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customFormat="false" ht="15.75" hidden="false" customHeight="true" outlineLevel="0" collapsed="false"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customFormat="false" ht="15.75" hidden="false" customHeight="true" outlineLevel="0" collapsed="false"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customFormat="false" ht="15.75" hidden="false" customHeight="true" outlineLevel="0" collapsed="false"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customFormat="false" ht="15.75" hidden="false" customHeight="true" outlineLevel="0" collapsed="false"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customFormat="false" ht="15.75" hidden="false" customHeight="true" outlineLevel="0" collapsed="false"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customFormat="false" ht="15.75" hidden="false" customHeight="true" outlineLevel="0" collapsed="false"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customFormat="false" ht="15.75" hidden="false" customHeight="true" outlineLevel="0" collapsed="false"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customFormat="false" ht="15.75" hidden="false" customHeight="true" outlineLevel="0" collapsed="false"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customFormat="false" ht="15.75" hidden="false" customHeight="true" outlineLevel="0" collapsed="false"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customFormat="false" ht="15.75" hidden="false" customHeight="true" outlineLevel="0" collapsed="false"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customFormat="false" ht="15.75" hidden="false" customHeight="true" outlineLevel="0" collapsed="false"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customFormat="false" ht="15.75" hidden="false" customHeight="true" outlineLevel="0" collapsed="false"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customFormat="false" ht="15.75" hidden="false" customHeight="true" outlineLevel="0" collapsed="false"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customFormat="false" ht="15.75" hidden="false" customHeight="true" outlineLevel="0" collapsed="false"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customFormat="false" ht="15.75" hidden="false" customHeight="true" outlineLevel="0" collapsed="false"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customFormat="false" ht="15.75" hidden="false" customHeight="true" outlineLevel="0" collapsed="false"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customFormat="false" ht="15.75" hidden="false" customHeight="true" outlineLevel="0" collapsed="false"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customFormat="false" ht="15.75" hidden="false" customHeight="true" outlineLevel="0" collapsed="false"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customFormat="false" ht="15.75" hidden="false" customHeight="true" outlineLevel="0" collapsed="false"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customFormat="false" ht="15.75" hidden="false" customHeight="true" outlineLevel="0" collapsed="false"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customFormat="false" ht="15.75" hidden="false" customHeight="true" outlineLevel="0" collapsed="false"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customFormat="false" ht="15.75" hidden="false" customHeight="true" outlineLevel="0" collapsed="false"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customFormat="false" ht="15.75" hidden="false" customHeight="true" outlineLevel="0" collapsed="false"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customFormat="false" ht="15.75" hidden="false" customHeight="true" outlineLevel="0" collapsed="false"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customFormat="false" ht="15.75" hidden="false" customHeight="true" outlineLevel="0" collapsed="false"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customFormat="false" ht="15.75" hidden="false" customHeight="true" outlineLevel="0" collapsed="false"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customFormat="false" ht="15.75" hidden="false" customHeight="true" outlineLevel="0" collapsed="false"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customFormat="false" ht="15.75" hidden="false" customHeight="true" outlineLevel="0" collapsed="false"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customFormat="false" ht="15.75" hidden="false" customHeight="true" outlineLevel="0" collapsed="false"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customFormat="false" ht="15.75" hidden="false" customHeight="true" outlineLevel="0" collapsed="false"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customFormat="false" ht="15.75" hidden="false" customHeight="true" outlineLevel="0" collapsed="false"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customFormat="false" ht="15.75" hidden="false" customHeight="true" outlineLevel="0" collapsed="false"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customFormat="false" ht="15.75" hidden="false" customHeight="true" outlineLevel="0" collapsed="false"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customFormat="false" ht="15.75" hidden="false" customHeight="true" outlineLevel="0" collapsed="false"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customFormat="false" ht="15.75" hidden="false" customHeight="true" outlineLevel="0" collapsed="false"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customFormat="false" ht="15.75" hidden="false" customHeight="true" outlineLevel="0" collapsed="false"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customFormat="false" ht="15.75" hidden="false" customHeight="true" outlineLevel="0" collapsed="false"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customFormat="false" ht="15.75" hidden="false" customHeight="true" outlineLevel="0" collapsed="false"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customFormat="false" ht="15.75" hidden="false" customHeight="true" outlineLevel="0" collapsed="false"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customFormat="false" ht="15.75" hidden="false" customHeight="true" outlineLevel="0" collapsed="false"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customFormat="false" ht="15.75" hidden="false" customHeight="true" outlineLevel="0" collapsed="false"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customFormat="false" ht="15.75" hidden="false" customHeight="true" outlineLevel="0" collapsed="false"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customFormat="false" ht="15.75" hidden="false" customHeight="true" outlineLevel="0" collapsed="false"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customFormat="false" ht="15.75" hidden="false" customHeight="true" outlineLevel="0" collapsed="false"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customFormat="false" ht="15.75" hidden="false" customHeight="true" outlineLevel="0" collapsed="false"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customFormat="false" ht="15.75" hidden="false" customHeight="true" outlineLevel="0" collapsed="false"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customFormat="false" ht="15.75" hidden="false" customHeight="true" outlineLevel="0" collapsed="false"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customFormat="false" ht="15.75" hidden="false" customHeight="true" outlineLevel="0" collapsed="false"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customFormat="false" ht="15.75" hidden="false" customHeight="true" outlineLevel="0" collapsed="false"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customFormat="false" ht="15.75" hidden="false" customHeight="true" outlineLevel="0" collapsed="false"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customFormat="false" ht="15.75" hidden="false" customHeight="true" outlineLevel="0" collapsed="false"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customFormat="false" ht="15.75" hidden="false" customHeight="true" outlineLevel="0" collapsed="false"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customFormat="false" ht="15.75" hidden="false" customHeight="true" outlineLevel="0" collapsed="false"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customFormat="false" ht="15.75" hidden="false" customHeight="true" outlineLevel="0" collapsed="false"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customFormat="false" ht="15.75" hidden="false" customHeight="true" outlineLevel="0" collapsed="false"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customFormat="false" ht="15.75" hidden="false" customHeight="true" outlineLevel="0" collapsed="false"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customFormat="false" ht="15.75" hidden="false" customHeight="true" outlineLevel="0" collapsed="false"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customFormat="false" ht="15.75" hidden="false" customHeight="true" outlineLevel="0" collapsed="false"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customFormat="false" ht="15.75" hidden="false" customHeight="true" outlineLevel="0" collapsed="false"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customFormat="false" ht="15.75" hidden="false" customHeight="true" outlineLevel="0" collapsed="false"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customFormat="false" ht="15.75" hidden="false" customHeight="true" outlineLevel="0" collapsed="false"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customFormat="false" ht="15.75" hidden="false" customHeight="true" outlineLevel="0" collapsed="false"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customFormat="false" ht="15.75" hidden="false" customHeight="true" outlineLevel="0" collapsed="false"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customFormat="false" ht="15.75" hidden="false" customHeight="true" outlineLevel="0" collapsed="false"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customFormat="false" ht="15.75" hidden="false" customHeight="true" outlineLevel="0" collapsed="false"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customFormat="false" ht="15.75" hidden="false" customHeight="true" outlineLevel="0" collapsed="false"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customFormat="false" ht="15.75" hidden="false" customHeight="true" outlineLevel="0" collapsed="false"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customFormat="false" ht="15.75" hidden="false" customHeight="true" outlineLevel="0" collapsed="false"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customFormat="false" ht="15.75" hidden="false" customHeight="true" outlineLevel="0" collapsed="false"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customFormat="false" ht="15.75" hidden="false" customHeight="true" outlineLevel="0" collapsed="false"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customFormat="false" ht="15.75" hidden="false" customHeight="true" outlineLevel="0" collapsed="false"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customFormat="false" ht="15.75" hidden="false" customHeight="true" outlineLevel="0" collapsed="false"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customFormat="false" ht="15.75" hidden="false" customHeight="true" outlineLevel="0" collapsed="false"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customFormat="false" ht="15.75" hidden="false" customHeight="true" outlineLevel="0" collapsed="false"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customFormat="false" ht="15.75" hidden="false" customHeight="true" outlineLevel="0" collapsed="false"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customFormat="false" ht="15.75" hidden="false" customHeight="true" outlineLevel="0" collapsed="false"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customFormat="false" ht="15.75" hidden="false" customHeight="true" outlineLevel="0" collapsed="false"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customFormat="false" ht="15.75" hidden="false" customHeight="true" outlineLevel="0" collapsed="false"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customFormat="false" ht="15.75" hidden="false" customHeight="true" outlineLevel="0" collapsed="false"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customFormat="false" ht="15.75" hidden="false" customHeight="true" outlineLevel="0" collapsed="false"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customFormat="false" ht="15.75" hidden="false" customHeight="true" outlineLevel="0" collapsed="false"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customFormat="false" ht="15.75" hidden="false" customHeight="true" outlineLevel="0" collapsed="false"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customFormat="false" ht="15.75" hidden="false" customHeight="true" outlineLevel="0" collapsed="false"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customFormat="false" ht="15.75" hidden="false" customHeight="true" outlineLevel="0" collapsed="false"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customFormat="false" ht="15.75" hidden="false" customHeight="true" outlineLevel="0" collapsed="false"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customFormat="false" ht="15.75" hidden="false" customHeight="true" outlineLevel="0" collapsed="false"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customFormat="false" ht="15.75" hidden="false" customHeight="true" outlineLevel="0" collapsed="false"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customFormat="false" ht="15.75" hidden="false" customHeight="true" outlineLevel="0" collapsed="false"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customFormat="false" ht="15.75" hidden="false" customHeight="true" outlineLevel="0" collapsed="false"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customFormat="false" ht="15.75" hidden="false" customHeight="true" outlineLevel="0" collapsed="false"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customFormat="false" ht="15.75" hidden="false" customHeight="true" outlineLevel="0" collapsed="false"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customFormat="false" ht="15.75" hidden="false" customHeight="true" outlineLevel="0" collapsed="false"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customFormat="false" ht="15.75" hidden="false" customHeight="true" outlineLevel="0" collapsed="false"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customFormat="false" ht="15.75" hidden="false" customHeight="true" outlineLevel="0" collapsed="false"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customFormat="false" ht="15.75" hidden="false" customHeight="true" outlineLevel="0" collapsed="false"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customFormat="false" ht="15.75" hidden="false" customHeight="true" outlineLevel="0" collapsed="false"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customFormat="false" ht="15.75" hidden="false" customHeight="true" outlineLevel="0" collapsed="false"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customFormat="false" ht="15.75" hidden="false" customHeight="true" outlineLevel="0" collapsed="false"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customFormat="false" ht="15.75" hidden="false" customHeight="true" outlineLevel="0" collapsed="false"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customFormat="false" ht="15.75" hidden="false" customHeight="true" outlineLevel="0" collapsed="false"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customFormat="false" ht="15.75" hidden="false" customHeight="true" outlineLevel="0" collapsed="false"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customFormat="false" ht="15.75" hidden="false" customHeight="true" outlineLevel="0" collapsed="false"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customFormat="false" ht="15.75" hidden="false" customHeight="true" outlineLevel="0" collapsed="false"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customFormat="false" ht="15.75" hidden="false" customHeight="true" outlineLevel="0" collapsed="false"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customFormat="false" ht="15.75" hidden="false" customHeight="true" outlineLevel="0" collapsed="false"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customFormat="false" ht="15.75" hidden="false" customHeight="true" outlineLevel="0" collapsed="false"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customFormat="false" ht="15.75" hidden="false" customHeight="true" outlineLevel="0" collapsed="false"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customFormat="false" ht="15.75" hidden="false" customHeight="true" outlineLevel="0" collapsed="false"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customFormat="false" ht="15.75" hidden="false" customHeight="true" outlineLevel="0" collapsed="false"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customFormat="false" ht="15.75" hidden="false" customHeight="true" outlineLevel="0" collapsed="false"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customFormat="false" ht="15.75" hidden="false" customHeight="true" outlineLevel="0" collapsed="false"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customFormat="false" ht="15.75" hidden="false" customHeight="true" outlineLevel="0" collapsed="false"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customFormat="false" ht="15.75" hidden="false" customHeight="true" outlineLevel="0" collapsed="false"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customFormat="false" ht="15.75" hidden="false" customHeight="true" outlineLevel="0" collapsed="false"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customFormat="false" ht="15.75" hidden="false" customHeight="true" outlineLevel="0" collapsed="false"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customFormat="false" ht="15.75" hidden="false" customHeight="true" outlineLevel="0" collapsed="false"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customFormat="false" ht="15.75" hidden="false" customHeight="true" outlineLevel="0" collapsed="false"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customFormat="false" ht="15.75" hidden="false" customHeight="true" outlineLevel="0" collapsed="false"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customFormat="false" ht="15.75" hidden="false" customHeight="true" outlineLevel="0" collapsed="false"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customFormat="false" ht="15.75" hidden="false" customHeight="true" outlineLevel="0" collapsed="false"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customFormat="false" ht="15.75" hidden="false" customHeight="true" outlineLevel="0" collapsed="false"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customFormat="false" ht="15.75" hidden="false" customHeight="true" outlineLevel="0" collapsed="false"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customFormat="false" ht="15.75" hidden="false" customHeight="true" outlineLevel="0" collapsed="false"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customFormat="false" ht="15.75" hidden="false" customHeight="true" outlineLevel="0" collapsed="false"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customFormat="false" ht="15.75" hidden="false" customHeight="true" outlineLevel="0" collapsed="false"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customFormat="false" ht="15.75" hidden="false" customHeight="true" outlineLevel="0" collapsed="false"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customFormat="false" ht="15.75" hidden="false" customHeight="true" outlineLevel="0" collapsed="false"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customFormat="false" ht="15.75" hidden="false" customHeight="true" outlineLevel="0" collapsed="false"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customFormat="false" ht="15.75" hidden="false" customHeight="true" outlineLevel="0" collapsed="false"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customFormat="false" ht="15.75" hidden="false" customHeight="true" outlineLevel="0" collapsed="false"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customFormat="false" ht="15.75" hidden="false" customHeight="true" outlineLevel="0" collapsed="false"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customFormat="false" ht="15.75" hidden="false" customHeight="true" outlineLevel="0" collapsed="false"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customFormat="false" ht="15.75" hidden="false" customHeight="true" outlineLevel="0" collapsed="false"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customFormat="false" ht="15.75" hidden="false" customHeight="true" outlineLevel="0" collapsed="false"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customFormat="false" ht="15.75" hidden="false" customHeight="true" outlineLevel="0" collapsed="false"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customFormat="false" ht="15.75" hidden="false" customHeight="true" outlineLevel="0" collapsed="false"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customFormat="false" ht="15.75" hidden="false" customHeight="true" outlineLevel="0" collapsed="false"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customFormat="false" ht="15.75" hidden="false" customHeight="true" outlineLevel="0" collapsed="false"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customFormat="false" ht="15.75" hidden="false" customHeight="true" outlineLevel="0" collapsed="false"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customFormat="false" ht="15.75" hidden="false" customHeight="true" outlineLevel="0" collapsed="false"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customFormat="false" ht="15.75" hidden="false" customHeight="true" outlineLevel="0" collapsed="false"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customFormat="false" ht="15.75" hidden="false" customHeight="true" outlineLevel="0" collapsed="false"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customFormat="false" ht="15.75" hidden="false" customHeight="true" outlineLevel="0" collapsed="false"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customFormat="false" ht="15.75" hidden="false" customHeight="true" outlineLevel="0" collapsed="false"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customFormat="false" ht="15.75" hidden="false" customHeight="true" outlineLevel="0" collapsed="false"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customFormat="false" ht="15.75" hidden="false" customHeight="true" outlineLevel="0" collapsed="false"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customFormat="false" ht="15.75" hidden="false" customHeight="true" outlineLevel="0" collapsed="false"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customFormat="false" ht="15.75" hidden="false" customHeight="true" outlineLevel="0" collapsed="false"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customFormat="false" ht="15.75" hidden="false" customHeight="true" outlineLevel="0" collapsed="false"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customFormat="false" ht="15.75" hidden="false" customHeight="true" outlineLevel="0" collapsed="false"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customFormat="false" ht="15.75" hidden="false" customHeight="true" outlineLevel="0" collapsed="false"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customFormat="false" ht="15.75" hidden="false" customHeight="true" outlineLevel="0" collapsed="false"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customFormat="false" ht="15.75" hidden="false" customHeight="true" outlineLevel="0" collapsed="false"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customFormat="false" ht="15.75" hidden="false" customHeight="true" outlineLevel="0" collapsed="false"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customFormat="false" ht="15.75" hidden="false" customHeight="true" outlineLevel="0" collapsed="false"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B6" activeCellId="0" sqref="B6"/>
    </sheetView>
  </sheetViews>
  <sheetFormatPr defaultColWidth="14.433593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14"/>
    <col collapsed="false" customWidth="true" hidden="false" outlineLevel="0" max="3" min="3" style="1" width="18"/>
    <col collapsed="false" customWidth="true" hidden="false" outlineLevel="0" max="4" min="4" style="1" width="12"/>
    <col collapsed="false" customWidth="true" hidden="false" outlineLevel="0" max="5" min="5" style="1" width="15"/>
    <col collapsed="false" customWidth="true" hidden="false" outlineLevel="0" max="6" min="6" style="1" width="40"/>
  </cols>
  <sheetData>
    <row r="1" customFormat="false" ht="17.25" hidden="false" customHeight="true" outlineLevel="0" collapsed="false">
      <c r="A1" s="2" t="s">
        <v>211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customFormat="false" ht="15" hidden="false" customHeight="true" outlineLevel="0" collapsed="false">
      <c r="A2" s="19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customFormat="false" ht="15" hidden="false" customHeight="true" outlineLevel="0" collapsed="false"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customFormat="false" ht="26.25" hidden="false" customHeight="true" outlineLevel="0" collapsed="false">
      <c r="A4" s="4" t="s">
        <v>28</v>
      </c>
      <c r="B4" s="4" t="s">
        <v>212</v>
      </c>
      <c r="C4" s="4" t="s">
        <v>213</v>
      </c>
      <c r="D4" s="4" t="s">
        <v>214</v>
      </c>
      <c r="E4" s="4" t="s">
        <v>201</v>
      </c>
      <c r="F4" s="4" t="s">
        <v>33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customFormat="false" ht="15" hidden="false" customHeight="true" outlineLevel="0" collapsed="false">
      <c r="A5" s="31" t="n">
        <v>46270</v>
      </c>
      <c r="B5" s="15" t="n">
        <v>1000</v>
      </c>
      <c r="C5" s="15" t="n">
        <v>103</v>
      </c>
      <c r="D5" s="15"/>
      <c r="E5" s="33" t="n">
        <f aca="false">SUM(B5:D5)</f>
        <v>1103</v>
      </c>
      <c r="F5" s="27" t="s">
        <v>215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customFormat="false" ht="15" hidden="false" customHeight="true" outlineLevel="0" collapsed="false">
      <c r="A6" s="31" t="n">
        <v>46271</v>
      </c>
      <c r="B6" s="15"/>
      <c r="C6" s="15"/>
      <c r="D6" s="15"/>
      <c r="E6" s="33" t="n">
        <f aca="false">SUM(B6:D6)</f>
        <v>0</v>
      </c>
      <c r="F6" s="27" t="s">
        <v>216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customFormat="false" ht="15" hidden="false" customHeight="true" outlineLevel="0" collapsed="false">
      <c r="A7" s="31" t="n">
        <v>46272</v>
      </c>
      <c r="B7" s="15"/>
      <c r="C7" s="15" t="n">
        <v>299</v>
      </c>
      <c r="D7" s="15" t="n">
        <v>238</v>
      </c>
      <c r="E7" s="33" t="n">
        <f aca="false">SUM(B7:D7)</f>
        <v>537</v>
      </c>
      <c r="F7" s="27" t="s">
        <v>217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customFormat="false" ht="15" hidden="false" customHeight="true" outlineLevel="0" collapsed="false">
      <c r="A8" s="31" t="n">
        <v>46273</v>
      </c>
      <c r="B8" s="15" t="n">
        <v>500</v>
      </c>
      <c r="C8" s="15"/>
      <c r="D8" s="15"/>
      <c r="E8" s="33" t="n">
        <f aca="false">SUM(B8:D8)</f>
        <v>500</v>
      </c>
      <c r="F8" s="27" t="s">
        <v>218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customFormat="false" ht="15" hidden="false" customHeight="true" outlineLevel="0" collapsed="false">
      <c r="A9" s="31" t="n">
        <v>46274</v>
      </c>
      <c r="B9" s="15" t="n">
        <v>1600</v>
      </c>
      <c r="C9" s="15"/>
      <c r="D9" s="15" t="n">
        <v>432</v>
      </c>
      <c r="E9" s="33" t="n">
        <f aca="false">SUM(B9:D9)</f>
        <v>2032</v>
      </c>
      <c r="F9" s="27" t="s">
        <v>219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customFormat="false" ht="15" hidden="false" customHeight="true" outlineLevel="0" collapsed="false">
      <c r="A10" s="31" t="n">
        <v>46275</v>
      </c>
      <c r="B10" s="15" t="n">
        <v>400</v>
      </c>
      <c r="C10" s="15"/>
      <c r="D10" s="15" t="n">
        <v>500</v>
      </c>
      <c r="E10" s="33" t="n">
        <f aca="false">SUM(B10:D10)</f>
        <v>900</v>
      </c>
      <c r="F10" s="27" t="s">
        <v>220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customFormat="false" ht="15" hidden="false" customHeight="true" outlineLevel="0" collapsed="false">
      <c r="A11" s="31" t="n">
        <v>46276</v>
      </c>
      <c r="B11" s="15" t="n">
        <v>400</v>
      </c>
      <c r="C11" s="15"/>
      <c r="D11" s="15" t="n">
        <v>72</v>
      </c>
      <c r="E11" s="33" t="n">
        <f aca="false">SUM(B11:D11)</f>
        <v>472</v>
      </c>
      <c r="F11" s="27" t="s">
        <v>221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customFormat="false" ht="15" hidden="false" customHeight="true" outlineLevel="0" collapsed="false">
      <c r="A12" s="31" t="n">
        <v>46277</v>
      </c>
      <c r="B12" s="15" t="n">
        <v>400</v>
      </c>
      <c r="C12" s="15"/>
      <c r="D12" s="15" t="n">
        <v>418.5</v>
      </c>
      <c r="E12" s="33" t="n">
        <f aca="false">SUM(B12:D12)</f>
        <v>818.5</v>
      </c>
      <c r="F12" s="27" t="s">
        <v>222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customFormat="false" ht="15" hidden="false" customHeight="true" outlineLevel="0" collapsed="false">
      <c r="A13" s="31" t="n">
        <v>46278</v>
      </c>
      <c r="B13" s="15" t="n">
        <v>400</v>
      </c>
      <c r="C13" s="15"/>
      <c r="D13" s="15" t="n">
        <v>587</v>
      </c>
      <c r="E13" s="33" t="n">
        <f aca="false">SUM(B13:D13)</f>
        <v>987</v>
      </c>
      <c r="F13" s="27" t="s">
        <v>223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customFormat="false" ht="15" hidden="false" customHeight="true" outlineLevel="0" collapsed="false">
      <c r="A14" s="31" t="n">
        <v>46279</v>
      </c>
      <c r="B14" s="15" t="n">
        <v>400</v>
      </c>
      <c r="C14" s="15"/>
      <c r="D14" s="15" t="n">
        <v>120.9</v>
      </c>
      <c r="E14" s="33" t="n">
        <f aca="false">SUM(B14:D14)</f>
        <v>520.9</v>
      </c>
      <c r="F14" s="27" t="s">
        <v>224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customFormat="false" ht="15" hidden="false" customHeight="true" outlineLevel="0" collapsed="false">
      <c r="A15" s="31" t="n">
        <v>46280</v>
      </c>
      <c r="B15" s="15" t="n">
        <v>400</v>
      </c>
      <c r="C15" s="15"/>
      <c r="D15" s="15" t="n">
        <v>208.5</v>
      </c>
      <c r="E15" s="33" t="n">
        <f aca="false">SUM(B15:D15)</f>
        <v>608.5</v>
      </c>
      <c r="F15" s="27" t="s">
        <v>225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customFormat="false" ht="15" hidden="false" customHeight="true" outlineLevel="0" collapsed="false">
      <c r="A16" s="31" t="n">
        <v>46281</v>
      </c>
      <c r="B16" s="15" t="n">
        <v>400</v>
      </c>
      <c r="C16" s="15"/>
      <c r="D16" s="15" t="n">
        <v>500</v>
      </c>
      <c r="E16" s="33" t="n">
        <f aca="false">SUM(B16:D16)</f>
        <v>900</v>
      </c>
      <c r="F16" s="27" t="s">
        <v>220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customFormat="false" ht="15" hidden="false" customHeight="true" outlineLevel="0" collapsed="false">
      <c r="A17" s="31" t="n">
        <v>46282</v>
      </c>
      <c r="B17" s="15" t="n">
        <v>400</v>
      </c>
      <c r="C17" s="15"/>
      <c r="D17" s="15" t="n">
        <v>500</v>
      </c>
      <c r="E17" s="33" t="n">
        <f aca="false">SUM(B17:D17)</f>
        <v>900</v>
      </c>
      <c r="F17" s="27" t="s">
        <v>220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customFormat="false" ht="15" hidden="false" customHeight="true" outlineLevel="0" collapsed="false">
      <c r="A18" s="31" t="n">
        <v>46283</v>
      </c>
      <c r="B18" s="15" t="n">
        <v>400</v>
      </c>
      <c r="C18" s="15"/>
      <c r="D18" s="15" t="n">
        <v>500</v>
      </c>
      <c r="E18" s="33" t="n">
        <f aca="false">SUM(B18:D18)</f>
        <v>900</v>
      </c>
      <c r="F18" s="27" t="s">
        <v>220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customFormat="false" ht="15" hidden="false" customHeight="true" outlineLevel="0" collapsed="false">
      <c r="A19" s="31" t="n">
        <v>46284</v>
      </c>
      <c r="B19" s="15" t="n">
        <v>400</v>
      </c>
      <c r="C19" s="15"/>
      <c r="D19" s="15" t="n">
        <v>500</v>
      </c>
      <c r="E19" s="33" t="n">
        <f aca="false">SUM(B19:D19)</f>
        <v>900</v>
      </c>
      <c r="F19" s="27" t="s">
        <v>220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customFormat="false" ht="15" hidden="false" customHeight="true" outlineLevel="0" collapsed="false">
      <c r="A20" s="31" t="n">
        <v>46285</v>
      </c>
      <c r="B20" s="15" t="n">
        <v>400</v>
      </c>
      <c r="C20" s="15"/>
      <c r="D20" s="15" t="n">
        <v>155</v>
      </c>
      <c r="E20" s="33" t="n">
        <f aca="false">SUM(B20:D20)</f>
        <v>555</v>
      </c>
      <c r="F20" s="27" t="s">
        <v>226</v>
      </c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customFormat="false" ht="15" hidden="false" customHeight="true" outlineLevel="0" collapsed="false">
      <c r="A21" s="31" t="n">
        <v>46286</v>
      </c>
      <c r="B21" s="15" t="n">
        <v>400</v>
      </c>
      <c r="C21" s="15"/>
      <c r="D21" s="15" t="n">
        <v>160.5</v>
      </c>
      <c r="E21" s="33" t="n">
        <f aca="false">SUM(B21:D21)</f>
        <v>560.5</v>
      </c>
      <c r="F21" s="27" t="s">
        <v>227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customFormat="false" ht="15" hidden="false" customHeight="true" outlineLevel="0" collapsed="false">
      <c r="A22" s="31" t="n">
        <v>46287</v>
      </c>
      <c r="B22" s="15" t="n">
        <v>400</v>
      </c>
      <c r="C22" s="15"/>
      <c r="D22" s="15" t="n">
        <v>85</v>
      </c>
      <c r="E22" s="33" t="n">
        <f aca="false">SUM(B22:D22)</f>
        <v>485</v>
      </c>
      <c r="F22" s="27" t="s">
        <v>228</v>
      </c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customFormat="false" ht="15" hidden="false" customHeight="true" outlineLevel="0" collapsed="false">
      <c r="A23" s="31" t="n">
        <v>46288</v>
      </c>
      <c r="B23" s="15" t="n">
        <v>400</v>
      </c>
      <c r="C23" s="15"/>
      <c r="D23" s="15" t="n">
        <v>672.5</v>
      </c>
      <c r="E23" s="33" t="n">
        <f aca="false">SUM(B23:D23)</f>
        <v>1072.5</v>
      </c>
      <c r="F23" s="27" t="s">
        <v>229</v>
      </c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customFormat="false" ht="15" hidden="false" customHeight="true" outlineLevel="0" collapsed="false">
      <c r="A24" s="31" t="n">
        <v>46289</v>
      </c>
      <c r="B24" s="15" t="n">
        <v>400</v>
      </c>
      <c r="C24" s="15"/>
      <c r="D24" s="15" t="n">
        <v>500</v>
      </c>
      <c r="E24" s="33" t="n">
        <f aca="false">SUM(B24:D24)</f>
        <v>900</v>
      </c>
      <c r="F24" s="27" t="s">
        <v>220</v>
      </c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customFormat="false" ht="15" hidden="false" customHeight="true" outlineLevel="0" collapsed="false">
      <c r="A25" s="31" t="n">
        <v>46290</v>
      </c>
      <c r="B25" s="15" t="n">
        <v>400</v>
      </c>
      <c r="C25" s="15"/>
      <c r="D25" s="15" t="n">
        <v>214</v>
      </c>
      <c r="E25" s="33" t="n">
        <f aca="false">SUM(B25:D25)</f>
        <v>614</v>
      </c>
      <c r="F25" s="27" t="s">
        <v>230</v>
      </c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customFormat="false" ht="15.75" hidden="false" customHeight="true" outlineLevel="0" collapsed="false"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customFormat="false" ht="15" hidden="false" customHeight="true" outlineLevel="0" collapsed="false">
      <c r="D27" s="16" t="s">
        <v>231</v>
      </c>
      <c r="E27" s="17" t="n">
        <f aca="false">SUM(E5:E25)</f>
        <v>16265.9</v>
      </c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customFormat="false" ht="15" hidden="false" customHeight="true" outlineLevel="0" collapsed="false">
      <c r="A28" s="3" t="s">
        <v>232</v>
      </c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customFormat="false" ht="15.75" hidden="false" customHeight="true" outlineLevel="0" collapsed="false">
      <c r="A29" s="3" t="s">
        <v>233</v>
      </c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customFormat="false" ht="15.75" hidden="false" customHeight="true" outlineLevel="0" collapsed="false"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customFormat="false" ht="15.75" hidden="false" customHeight="true" outlineLevel="0" collapsed="false"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customFormat="false" ht="15.75" hidden="false" customHeight="true" outlineLevel="0" collapsed="false"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customFormat="false" ht="15.75" hidden="false" customHeight="true" outlineLevel="0" collapsed="false"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customFormat="false" ht="15.75" hidden="false" customHeight="true" outlineLevel="0" collapsed="false"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customFormat="false" ht="15.75" hidden="false" customHeight="true" outlineLevel="0" collapsed="false"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customFormat="false" ht="15.75" hidden="false" customHeight="true" outlineLevel="0" collapsed="false"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customFormat="false" ht="15.75" hidden="false" customHeight="true" outlineLevel="0" collapsed="false"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customFormat="false" ht="15.75" hidden="false" customHeight="true" outlineLevel="0" collapsed="false"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customFormat="false" ht="15.75" hidden="false" customHeight="true" outlineLevel="0" collapsed="false"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customFormat="false" ht="15.75" hidden="false" customHeight="true" outlineLevel="0" collapsed="false"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customFormat="false" ht="15.75" hidden="false" customHeight="true" outlineLevel="0" collapsed="false"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customFormat="false" ht="15.75" hidden="false" customHeight="true" outlineLevel="0" collapsed="false"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customFormat="false" ht="15.75" hidden="false" customHeight="true" outlineLevel="0" collapsed="false"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customFormat="false" ht="15.75" hidden="false" customHeight="true" outlineLevel="0" collapsed="false"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customFormat="false" ht="15.75" hidden="false" customHeight="true" outlineLevel="0" collapsed="false"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customFormat="false" ht="15.75" hidden="false" customHeight="true" outlineLevel="0" collapsed="false"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customFormat="false" ht="15.75" hidden="false" customHeight="true" outlineLevel="0" collapsed="false"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customFormat="false" ht="15.75" hidden="false" customHeight="true" outlineLevel="0" collapsed="false"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customFormat="false" ht="15.75" hidden="false" customHeight="true" outlineLevel="0" collapsed="false"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customFormat="false" ht="15.75" hidden="false" customHeight="true" outlineLevel="0" collapsed="false"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customFormat="false" ht="15.75" hidden="false" customHeight="true" outlineLevel="0" collapsed="false"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customFormat="false" ht="15.75" hidden="false" customHeight="true" outlineLevel="0" collapsed="false"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customFormat="false" ht="15.75" hidden="false" customHeight="true" outlineLevel="0" collapsed="false"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customFormat="false" ht="15.75" hidden="false" customHeight="true" outlineLevel="0" collapsed="false"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customFormat="false" ht="15.75" hidden="false" customHeight="true" outlineLevel="0" collapsed="false"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customFormat="false" ht="15.75" hidden="false" customHeight="true" outlineLevel="0" collapsed="false"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customFormat="false" ht="15.75" hidden="false" customHeight="true" outlineLevel="0" collapsed="false"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customFormat="false" ht="15.75" hidden="false" customHeight="true" outlineLevel="0" collapsed="false"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customFormat="false" ht="15.75" hidden="false" customHeight="true" outlineLevel="0" collapsed="false"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customFormat="false" ht="15.75" hidden="false" customHeight="true" outlineLevel="0" collapsed="false"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customFormat="false" ht="15.75" hidden="false" customHeight="true" outlineLevel="0" collapsed="false"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customFormat="false" ht="15.75" hidden="false" customHeight="true" outlineLevel="0" collapsed="false"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customFormat="false" ht="15.75" hidden="false" customHeight="true" outlineLevel="0" collapsed="false"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customFormat="false" ht="15.75" hidden="false" customHeight="true" outlineLevel="0" collapsed="false"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customFormat="false" ht="15.75" hidden="false" customHeight="true" outlineLevel="0" collapsed="false"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customFormat="false" ht="15.75" hidden="false" customHeight="true" outlineLevel="0" collapsed="false"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customFormat="false" ht="15.75" hidden="false" customHeight="true" outlineLevel="0" collapsed="false"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customFormat="false" ht="15.75" hidden="false" customHeight="true" outlineLevel="0" collapsed="false"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customFormat="false" ht="15.75" hidden="false" customHeight="true" outlineLevel="0" collapsed="false"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customFormat="false" ht="15.75" hidden="false" customHeight="true" outlineLevel="0" collapsed="false"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customFormat="false" ht="15.75" hidden="false" customHeight="true" outlineLevel="0" collapsed="false"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customFormat="false" ht="15.75" hidden="false" customHeight="true" outlineLevel="0" collapsed="false"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customFormat="false" ht="15.75" hidden="false" customHeight="true" outlineLevel="0" collapsed="false"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customFormat="false" ht="15.75" hidden="false" customHeight="true" outlineLevel="0" collapsed="false"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customFormat="false" ht="15.75" hidden="false" customHeight="true" outlineLevel="0" collapsed="false"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customFormat="false" ht="15.75" hidden="false" customHeight="true" outlineLevel="0" collapsed="false"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customFormat="false" ht="15.75" hidden="false" customHeight="true" outlineLevel="0" collapsed="false"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customFormat="false" ht="15.75" hidden="false" customHeight="true" outlineLevel="0" collapsed="false"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customFormat="false" ht="15.75" hidden="false" customHeight="true" outlineLevel="0" collapsed="false"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customFormat="false" ht="15.75" hidden="false" customHeight="true" outlineLevel="0" collapsed="false"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customFormat="false" ht="15.75" hidden="false" customHeight="true" outlineLevel="0" collapsed="false"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customFormat="false" ht="15.75" hidden="false" customHeight="true" outlineLevel="0" collapsed="false"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customFormat="false" ht="15.75" hidden="false" customHeight="true" outlineLevel="0" collapsed="false"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customFormat="false" ht="15.75" hidden="false" customHeight="true" outlineLevel="0" collapsed="false"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customFormat="false" ht="15.75" hidden="false" customHeight="true" outlineLevel="0" collapsed="false"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customFormat="false" ht="15.75" hidden="false" customHeight="true" outlineLevel="0" collapsed="false"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customFormat="false" ht="15.75" hidden="false" customHeight="true" outlineLevel="0" collapsed="false"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customFormat="false" ht="15.75" hidden="false" customHeight="true" outlineLevel="0" collapsed="false"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customFormat="false" ht="15.75" hidden="false" customHeight="true" outlineLevel="0" collapsed="false"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customFormat="false" ht="15.75" hidden="false" customHeight="true" outlineLevel="0" collapsed="false"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customFormat="false" ht="15.75" hidden="false" customHeight="true" outlineLevel="0" collapsed="false"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customFormat="false" ht="15.75" hidden="false" customHeight="true" outlineLevel="0" collapsed="false"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customFormat="false" ht="15.75" hidden="false" customHeight="true" outlineLevel="0" collapsed="false"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customFormat="false" ht="15.75" hidden="false" customHeight="true" outlineLevel="0" collapsed="false"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customFormat="false" ht="15.75" hidden="false" customHeight="true" outlineLevel="0" collapsed="false"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customFormat="false" ht="15.75" hidden="false" customHeight="true" outlineLevel="0" collapsed="false"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customFormat="false" ht="15.75" hidden="false" customHeight="true" outlineLevel="0" collapsed="false"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customFormat="false" ht="15.75" hidden="false" customHeight="true" outlineLevel="0" collapsed="false"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customFormat="false" ht="15.75" hidden="false" customHeight="true" outlineLevel="0" collapsed="false"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customFormat="false" ht="15.75" hidden="false" customHeight="true" outlineLevel="0" collapsed="false"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customFormat="false" ht="15.75" hidden="false" customHeight="true" outlineLevel="0" collapsed="false"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customFormat="false" ht="15.75" hidden="false" customHeight="true" outlineLevel="0" collapsed="false"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customFormat="false" ht="15.75" hidden="false" customHeight="true" outlineLevel="0" collapsed="false"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customFormat="false" ht="15.75" hidden="false" customHeight="true" outlineLevel="0" collapsed="false"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customFormat="false" ht="15.75" hidden="false" customHeight="true" outlineLevel="0" collapsed="false"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customFormat="false" ht="15.75" hidden="false" customHeight="true" outlineLevel="0" collapsed="false"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customFormat="false" ht="15.75" hidden="false" customHeight="true" outlineLevel="0" collapsed="false"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customFormat="false" ht="15.75" hidden="false" customHeight="true" outlineLevel="0" collapsed="false"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customFormat="false" ht="15.75" hidden="false" customHeight="true" outlineLevel="0" collapsed="false"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customFormat="false" ht="15.75" hidden="false" customHeight="true" outlineLevel="0" collapsed="false"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customFormat="false" ht="15.75" hidden="false" customHeight="true" outlineLevel="0" collapsed="false"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customFormat="false" ht="15.75" hidden="false" customHeight="true" outlineLevel="0" collapsed="false"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customFormat="false" ht="15.75" hidden="false" customHeight="true" outlineLevel="0" collapsed="false"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customFormat="false" ht="15.75" hidden="false" customHeight="true" outlineLevel="0" collapsed="false"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customFormat="false" ht="15.75" hidden="false" customHeight="true" outlineLevel="0" collapsed="false"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customFormat="false" ht="15.75" hidden="false" customHeight="true" outlineLevel="0" collapsed="false"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customFormat="false" ht="15.75" hidden="false" customHeight="true" outlineLevel="0" collapsed="false"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customFormat="false" ht="15.75" hidden="false" customHeight="true" outlineLevel="0" collapsed="false"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customFormat="false" ht="15.75" hidden="false" customHeight="true" outlineLevel="0" collapsed="false"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customFormat="false" ht="15.75" hidden="false" customHeight="true" outlineLevel="0" collapsed="false"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customFormat="false" ht="15.75" hidden="false" customHeight="true" outlineLevel="0" collapsed="false"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customFormat="false" ht="15.75" hidden="false" customHeight="true" outlineLevel="0" collapsed="false"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customFormat="false" ht="15.75" hidden="false" customHeight="true" outlineLevel="0" collapsed="false"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customFormat="false" ht="15.75" hidden="false" customHeight="true" outlineLevel="0" collapsed="false"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customFormat="false" ht="15.75" hidden="false" customHeight="true" outlineLevel="0" collapsed="false"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customFormat="false" ht="15.75" hidden="false" customHeight="true" outlineLevel="0" collapsed="false"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customFormat="false" ht="15.75" hidden="false" customHeight="true" outlineLevel="0" collapsed="false"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customFormat="false" ht="15.75" hidden="false" customHeight="true" outlineLevel="0" collapsed="false"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customFormat="false" ht="15.75" hidden="false" customHeight="true" outlineLevel="0" collapsed="false"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customFormat="false" ht="15.75" hidden="false" customHeight="true" outlineLevel="0" collapsed="false"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customFormat="false" ht="15.75" hidden="false" customHeight="true" outlineLevel="0" collapsed="false"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customFormat="false" ht="15.75" hidden="false" customHeight="true" outlineLevel="0" collapsed="false"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customFormat="false" ht="15.75" hidden="false" customHeight="true" outlineLevel="0" collapsed="false"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customFormat="false" ht="15.75" hidden="false" customHeight="true" outlineLevel="0" collapsed="false"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customFormat="false" ht="15.75" hidden="false" customHeight="true" outlineLevel="0" collapsed="false"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customFormat="false" ht="15.75" hidden="false" customHeight="true" outlineLevel="0" collapsed="false"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customFormat="false" ht="15.75" hidden="false" customHeight="true" outlineLevel="0" collapsed="false"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customFormat="false" ht="15.75" hidden="false" customHeight="true" outlineLevel="0" collapsed="false"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customFormat="false" ht="15.75" hidden="false" customHeight="true" outlineLevel="0" collapsed="false"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customFormat="false" ht="15.75" hidden="false" customHeight="true" outlineLevel="0" collapsed="false"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customFormat="false" ht="15.75" hidden="false" customHeight="true" outlineLevel="0" collapsed="false"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customFormat="false" ht="15.75" hidden="false" customHeight="true" outlineLevel="0" collapsed="false"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customFormat="false" ht="15.75" hidden="false" customHeight="true" outlineLevel="0" collapsed="false"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customFormat="false" ht="15.75" hidden="false" customHeight="true" outlineLevel="0" collapsed="false"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customFormat="false" ht="15.75" hidden="false" customHeight="true" outlineLevel="0" collapsed="false"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customFormat="false" ht="15.75" hidden="false" customHeight="true" outlineLevel="0" collapsed="false"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customFormat="false" ht="15.75" hidden="false" customHeight="true" outlineLevel="0" collapsed="false"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customFormat="false" ht="15.75" hidden="false" customHeight="true" outlineLevel="0" collapsed="false"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customFormat="false" ht="15.75" hidden="false" customHeight="true" outlineLevel="0" collapsed="false"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customFormat="false" ht="15.75" hidden="false" customHeight="true" outlineLevel="0" collapsed="false"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customFormat="false" ht="15.75" hidden="false" customHeight="true" outlineLevel="0" collapsed="false"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customFormat="false" ht="15.75" hidden="false" customHeight="true" outlineLevel="0" collapsed="false"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customFormat="false" ht="15.75" hidden="false" customHeight="true" outlineLevel="0" collapsed="false"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customFormat="false" ht="15.75" hidden="false" customHeight="true" outlineLevel="0" collapsed="false"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customFormat="false" ht="15.75" hidden="false" customHeight="true" outlineLevel="0" collapsed="false"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customFormat="false" ht="15.75" hidden="false" customHeight="true" outlineLevel="0" collapsed="false"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customFormat="false" ht="15.75" hidden="false" customHeight="true" outlineLevel="0" collapsed="false"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customFormat="false" ht="15.75" hidden="false" customHeight="true" outlineLevel="0" collapsed="false"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customFormat="false" ht="15.75" hidden="false" customHeight="true" outlineLevel="0" collapsed="false"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customFormat="false" ht="15.75" hidden="false" customHeight="true" outlineLevel="0" collapsed="false"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customFormat="false" ht="15.75" hidden="false" customHeight="true" outlineLevel="0" collapsed="false"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customFormat="false" ht="15.75" hidden="false" customHeight="true" outlineLevel="0" collapsed="false"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customFormat="false" ht="15.75" hidden="false" customHeight="true" outlineLevel="0" collapsed="false"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customFormat="false" ht="15.75" hidden="false" customHeight="true" outlineLevel="0" collapsed="false"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customFormat="false" ht="15.75" hidden="false" customHeight="true" outlineLevel="0" collapsed="false"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customFormat="false" ht="15.75" hidden="false" customHeight="true" outlineLevel="0" collapsed="false"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customFormat="false" ht="15.75" hidden="false" customHeight="true" outlineLevel="0" collapsed="false"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customFormat="false" ht="15.75" hidden="false" customHeight="true" outlineLevel="0" collapsed="false"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customFormat="false" ht="15.75" hidden="false" customHeight="true" outlineLevel="0" collapsed="false"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customFormat="false" ht="15.75" hidden="false" customHeight="true" outlineLevel="0" collapsed="false"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customFormat="false" ht="15.75" hidden="false" customHeight="true" outlineLevel="0" collapsed="false"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customFormat="false" ht="15.75" hidden="false" customHeight="true" outlineLevel="0" collapsed="false"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customFormat="false" ht="15.75" hidden="false" customHeight="true" outlineLevel="0" collapsed="false"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customFormat="false" ht="15.75" hidden="false" customHeight="true" outlineLevel="0" collapsed="false"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customFormat="false" ht="15.75" hidden="false" customHeight="true" outlineLevel="0" collapsed="false"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customFormat="false" ht="15.75" hidden="false" customHeight="true" outlineLevel="0" collapsed="false"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customFormat="false" ht="15.75" hidden="false" customHeight="true" outlineLevel="0" collapsed="false"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customFormat="false" ht="15.75" hidden="false" customHeight="true" outlineLevel="0" collapsed="false"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customFormat="false" ht="15.75" hidden="false" customHeight="true" outlineLevel="0" collapsed="false"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customFormat="false" ht="15.75" hidden="false" customHeight="true" outlineLevel="0" collapsed="false"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customFormat="false" ht="15.75" hidden="false" customHeight="true" outlineLevel="0" collapsed="false"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customFormat="false" ht="15.75" hidden="false" customHeight="true" outlineLevel="0" collapsed="false"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customFormat="false" ht="15.75" hidden="false" customHeight="true" outlineLevel="0" collapsed="false"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customFormat="false" ht="15.75" hidden="false" customHeight="true" outlineLevel="0" collapsed="false"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customFormat="false" ht="15.75" hidden="false" customHeight="true" outlineLevel="0" collapsed="false"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customFormat="false" ht="15.75" hidden="false" customHeight="true" outlineLevel="0" collapsed="false"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customFormat="false" ht="15.75" hidden="false" customHeight="true" outlineLevel="0" collapsed="false"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customFormat="false" ht="15.75" hidden="false" customHeight="true" outlineLevel="0" collapsed="false"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customFormat="false" ht="15.75" hidden="false" customHeight="true" outlineLevel="0" collapsed="false"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customFormat="false" ht="15.75" hidden="false" customHeight="true" outlineLevel="0" collapsed="false"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customFormat="false" ht="15.75" hidden="false" customHeight="true" outlineLevel="0" collapsed="false"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customFormat="false" ht="15.75" hidden="false" customHeight="true" outlineLevel="0" collapsed="false"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customFormat="false" ht="15.75" hidden="false" customHeight="true" outlineLevel="0" collapsed="false"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customFormat="false" ht="15.75" hidden="false" customHeight="true" outlineLevel="0" collapsed="false"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customFormat="false" ht="15.75" hidden="false" customHeight="true" outlineLevel="0" collapsed="false"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customFormat="false" ht="15.75" hidden="false" customHeight="true" outlineLevel="0" collapsed="false"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customFormat="false" ht="15.75" hidden="false" customHeight="true" outlineLevel="0" collapsed="false"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customFormat="false" ht="15.75" hidden="false" customHeight="true" outlineLevel="0" collapsed="false"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customFormat="false" ht="15.75" hidden="false" customHeight="true" outlineLevel="0" collapsed="false"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customFormat="false" ht="15.75" hidden="false" customHeight="true" outlineLevel="0" collapsed="false"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customFormat="false" ht="15.75" hidden="false" customHeight="true" outlineLevel="0" collapsed="false"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customFormat="false" ht="15.75" hidden="false" customHeight="true" outlineLevel="0" collapsed="false"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customFormat="false" ht="15.75" hidden="false" customHeight="true" outlineLevel="0" collapsed="false"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customFormat="false" ht="15.75" hidden="false" customHeight="true" outlineLevel="0" collapsed="false"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customFormat="false" ht="15.75" hidden="false" customHeight="true" outlineLevel="0" collapsed="false"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customFormat="false" ht="15.75" hidden="false" customHeight="true" outlineLevel="0" collapsed="false"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customFormat="false" ht="15.75" hidden="false" customHeight="true" outlineLevel="0" collapsed="false"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customFormat="false" ht="15.75" hidden="false" customHeight="true" outlineLevel="0" collapsed="false"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customFormat="false" ht="15.75" hidden="false" customHeight="true" outlineLevel="0" collapsed="false"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customFormat="false" ht="15.75" hidden="false" customHeight="true" outlineLevel="0" collapsed="false"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customFormat="false" ht="15.75" hidden="false" customHeight="true" outlineLevel="0" collapsed="false"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customFormat="false" ht="15.75" hidden="false" customHeight="true" outlineLevel="0" collapsed="false"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customFormat="false" ht="15.75" hidden="false" customHeight="true" outlineLevel="0" collapsed="false"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customFormat="false" ht="15.75" hidden="false" customHeight="true" outlineLevel="0" collapsed="false"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customFormat="false" ht="15.75" hidden="false" customHeight="true" outlineLevel="0" collapsed="false"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customFormat="false" ht="15.75" hidden="false" customHeight="true" outlineLevel="0" collapsed="false"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customFormat="false" ht="15.75" hidden="false" customHeight="true" outlineLevel="0" collapsed="false"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customFormat="false" ht="15.75" hidden="false" customHeight="true" outlineLevel="0" collapsed="false"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customFormat="false" ht="15.75" hidden="false" customHeight="true" outlineLevel="0" collapsed="false"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customFormat="false" ht="15.75" hidden="false" customHeight="true" outlineLevel="0" collapsed="false"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customFormat="false" ht="15.75" hidden="false" customHeight="true" outlineLevel="0" collapsed="false"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customFormat="false" ht="15.75" hidden="false" customHeight="true" outlineLevel="0" collapsed="false"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customFormat="false" ht="15.75" hidden="false" customHeight="true" outlineLevel="0" collapsed="false"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customFormat="false" ht="15.75" hidden="false" customHeight="true" outlineLevel="0" collapsed="false"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customFormat="false" ht="15.75" hidden="false" customHeight="true" outlineLevel="0" collapsed="false"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customFormat="false" ht="15.75" hidden="false" customHeight="true" outlineLevel="0" collapsed="false"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customFormat="false" ht="15.75" hidden="false" customHeight="true" outlineLevel="0" collapsed="false"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customFormat="false" ht="15.75" hidden="false" customHeight="true" outlineLevel="0" collapsed="false"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customFormat="false" ht="15.75" hidden="false" customHeight="true" outlineLevel="0" collapsed="false"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customFormat="false" ht="15.75" hidden="false" customHeight="true" outlineLevel="0" collapsed="false"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customFormat="false" ht="15.75" hidden="false" customHeight="true" outlineLevel="0" collapsed="false"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customFormat="false" ht="15.75" hidden="false" customHeight="true" outlineLevel="0" collapsed="false"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customFormat="false" ht="15.75" hidden="false" customHeight="true" outlineLevel="0" collapsed="false"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customFormat="false" ht="15.75" hidden="false" customHeight="true" outlineLevel="0" collapsed="false"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customFormat="false" ht="15.75" hidden="false" customHeight="true" outlineLevel="0" collapsed="false"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customFormat="false" ht="15.75" hidden="false" customHeight="true" outlineLevel="0" collapsed="false"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customFormat="false" ht="15.75" hidden="false" customHeight="true" outlineLevel="0" collapsed="false"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customFormat="false" ht="15.75" hidden="false" customHeight="true" outlineLevel="0" collapsed="false"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customFormat="false" ht="15.75" hidden="false" customHeight="true" outlineLevel="0" collapsed="false"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customFormat="false" ht="15.75" hidden="false" customHeight="true" outlineLevel="0" collapsed="false"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customFormat="false" ht="15.75" hidden="false" customHeight="true" outlineLevel="0" collapsed="false"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customFormat="false" ht="15.75" hidden="false" customHeight="true" outlineLevel="0" collapsed="false"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customFormat="false" ht="15.75" hidden="false" customHeight="true" outlineLevel="0" collapsed="false"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customFormat="false" ht="15.75" hidden="false" customHeight="true" outlineLevel="0" collapsed="false"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customFormat="false" ht="15.75" hidden="false" customHeight="true" outlineLevel="0" collapsed="false"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customFormat="false" ht="15.75" hidden="false" customHeight="true" outlineLevel="0" collapsed="false"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customFormat="false" ht="15.75" hidden="false" customHeight="true" outlineLevel="0" collapsed="false"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customFormat="false" ht="15.75" hidden="false" customHeight="true" outlineLevel="0" collapsed="false"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customFormat="false" ht="15.75" hidden="false" customHeight="true" outlineLevel="0" collapsed="false"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customFormat="false" ht="15.75" hidden="false" customHeight="true" outlineLevel="0" collapsed="false"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customFormat="false" ht="15.75" hidden="false" customHeight="true" outlineLevel="0" collapsed="false"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customFormat="false" ht="15.75" hidden="false" customHeight="true" outlineLevel="0" collapsed="false"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customFormat="false" ht="15.75" hidden="false" customHeight="true" outlineLevel="0" collapsed="false"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customFormat="false" ht="15.75" hidden="false" customHeight="true" outlineLevel="0" collapsed="false"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customFormat="false" ht="15.75" hidden="false" customHeight="true" outlineLevel="0" collapsed="false"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customFormat="false" ht="15.75" hidden="false" customHeight="true" outlineLevel="0" collapsed="false"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customFormat="false" ht="15.75" hidden="false" customHeight="true" outlineLevel="0" collapsed="false"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customFormat="false" ht="15.75" hidden="false" customHeight="true" outlineLevel="0" collapsed="false"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customFormat="false" ht="15.75" hidden="false" customHeight="true" outlineLevel="0" collapsed="false"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customFormat="false" ht="15.75" hidden="false" customHeight="true" outlineLevel="0" collapsed="false"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customFormat="false" ht="15.75" hidden="false" customHeight="true" outlineLevel="0" collapsed="false"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customFormat="false" ht="15.75" hidden="false" customHeight="true" outlineLevel="0" collapsed="false"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customFormat="false" ht="15.75" hidden="false" customHeight="true" outlineLevel="0" collapsed="false"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customFormat="false" ht="15.75" hidden="false" customHeight="true" outlineLevel="0" collapsed="false"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customFormat="false" ht="15.75" hidden="false" customHeight="true" outlineLevel="0" collapsed="false"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customFormat="false" ht="15.75" hidden="false" customHeight="true" outlineLevel="0" collapsed="false"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customFormat="false" ht="15.75" hidden="false" customHeight="true" outlineLevel="0" collapsed="false"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customFormat="false" ht="15.75" hidden="false" customHeight="true" outlineLevel="0" collapsed="false"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customFormat="false" ht="15.75" hidden="false" customHeight="true" outlineLevel="0" collapsed="false"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customFormat="false" ht="15.75" hidden="false" customHeight="true" outlineLevel="0" collapsed="false"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customFormat="false" ht="15.75" hidden="false" customHeight="true" outlineLevel="0" collapsed="false"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customFormat="false" ht="15.75" hidden="false" customHeight="true" outlineLevel="0" collapsed="false"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customFormat="false" ht="15.75" hidden="false" customHeight="true" outlineLevel="0" collapsed="false"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customFormat="false" ht="15.75" hidden="false" customHeight="true" outlineLevel="0" collapsed="false"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customFormat="false" ht="15.75" hidden="false" customHeight="true" outlineLevel="0" collapsed="false"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customFormat="false" ht="15.75" hidden="false" customHeight="true" outlineLevel="0" collapsed="false"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customFormat="false" ht="15.75" hidden="false" customHeight="true" outlineLevel="0" collapsed="false"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customFormat="false" ht="15.75" hidden="false" customHeight="true" outlineLevel="0" collapsed="false"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customFormat="false" ht="15.75" hidden="false" customHeight="true" outlineLevel="0" collapsed="false"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customFormat="false" ht="15.75" hidden="false" customHeight="true" outlineLevel="0" collapsed="false"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customFormat="false" ht="15.75" hidden="false" customHeight="true" outlineLevel="0" collapsed="false"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customFormat="false" ht="15.75" hidden="false" customHeight="true" outlineLevel="0" collapsed="false"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customFormat="false" ht="15.75" hidden="false" customHeight="true" outlineLevel="0" collapsed="false"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customFormat="false" ht="15.75" hidden="false" customHeight="true" outlineLevel="0" collapsed="false"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customFormat="false" ht="15.75" hidden="false" customHeight="true" outlineLevel="0" collapsed="false"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customFormat="false" ht="15.75" hidden="false" customHeight="true" outlineLevel="0" collapsed="false"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customFormat="false" ht="15.75" hidden="false" customHeight="true" outlineLevel="0" collapsed="false"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customFormat="false" ht="15.75" hidden="false" customHeight="true" outlineLevel="0" collapsed="false"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customFormat="false" ht="15.75" hidden="false" customHeight="true" outlineLevel="0" collapsed="false"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customFormat="false" ht="15.75" hidden="false" customHeight="true" outlineLevel="0" collapsed="false"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customFormat="false" ht="15.75" hidden="false" customHeight="true" outlineLevel="0" collapsed="false"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customFormat="false" ht="15.75" hidden="false" customHeight="true" outlineLevel="0" collapsed="false"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customFormat="false" ht="15.75" hidden="false" customHeight="true" outlineLevel="0" collapsed="false"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customFormat="false" ht="15.75" hidden="false" customHeight="true" outlineLevel="0" collapsed="false"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customFormat="false" ht="15.75" hidden="false" customHeight="true" outlineLevel="0" collapsed="false"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customFormat="false" ht="15.75" hidden="false" customHeight="true" outlineLevel="0" collapsed="false"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customFormat="false" ht="15.75" hidden="false" customHeight="true" outlineLevel="0" collapsed="false"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customFormat="false" ht="15.75" hidden="false" customHeight="true" outlineLevel="0" collapsed="false"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customFormat="false" ht="15.75" hidden="false" customHeight="true" outlineLevel="0" collapsed="false"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customFormat="false" ht="15.75" hidden="false" customHeight="true" outlineLevel="0" collapsed="false"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customFormat="false" ht="15.75" hidden="false" customHeight="true" outlineLevel="0" collapsed="false"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customFormat="false" ht="15.75" hidden="false" customHeight="true" outlineLevel="0" collapsed="false"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customFormat="false" ht="15.75" hidden="false" customHeight="true" outlineLevel="0" collapsed="false"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customFormat="false" ht="15.75" hidden="false" customHeight="true" outlineLevel="0" collapsed="false"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customFormat="false" ht="15.75" hidden="false" customHeight="true" outlineLevel="0" collapsed="false"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customFormat="false" ht="15.75" hidden="false" customHeight="true" outlineLevel="0" collapsed="false"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customFormat="false" ht="15.75" hidden="false" customHeight="true" outlineLevel="0" collapsed="false"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customFormat="false" ht="15.75" hidden="false" customHeight="true" outlineLevel="0" collapsed="false"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customFormat="false" ht="15.75" hidden="false" customHeight="true" outlineLevel="0" collapsed="false"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customFormat="false" ht="15.75" hidden="false" customHeight="true" outlineLevel="0" collapsed="false"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customFormat="false" ht="15.75" hidden="false" customHeight="true" outlineLevel="0" collapsed="false"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customFormat="false" ht="15.75" hidden="false" customHeight="true" outlineLevel="0" collapsed="false"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customFormat="false" ht="15.75" hidden="false" customHeight="true" outlineLevel="0" collapsed="false"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customFormat="false" ht="15.75" hidden="false" customHeight="true" outlineLevel="0" collapsed="false"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customFormat="false" ht="15.75" hidden="false" customHeight="true" outlineLevel="0" collapsed="false"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customFormat="false" ht="15.75" hidden="false" customHeight="true" outlineLevel="0" collapsed="false"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customFormat="false" ht="15.75" hidden="false" customHeight="true" outlineLevel="0" collapsed="false"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customFormat="false" ht="15.75" hidden="false" customHeight="true" outlineLevel="0" collapsed="false"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customFormat="false" ht="15.75" hidden="false" customHeight="true" outlineLevel="0" collapsed="false"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customFormat="false" ht="15.75" hidden="false" customHeight="true" outlineLevel="0" collapsed="false"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customFormat="false" ht="15.75" hidden="false" customHeight="true" outlineLevel="0" collapsed="false"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customFormat="false" ht="15.75" hidden="false" customHeight="true" outlineLevel="0" collapsed="false"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customFormat="false" ht="15.75" hidden="false" customHeight="true" outlineLevel="0" collapsed="false"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customFormat="false" ht="15.75" hidden="false" customHeight="true" outlineLevel="0" collapsed="false"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customFormat="false" ht="15.75" hidden="false" customHeight="true" outlineLevel="0" collapsed="false"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customFormat="false" ht="15.75" hidden="false" customHeight="true" outlineLevel="0" collapsed="false"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customFormat="false" ht="15.75" hidden="false" customHeight="true" outlineLevel="0" collapsed="false"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customFormat="false" ht="15.75" hidden="false" customHeight="true" outlineLevel="0" collapsed="false"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customFormat="false" ht="15.75" hidden="false" customHeight="true" outlineLevel="0" collapsed="false"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customFormat="false" ht="15.75" hidden="false" customHeight="true" outlineLevel="0" collapsed="false"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customFormat="false" ht="15.75" hidden="false" customHeight="true" outlineLevel="0" collapsed="false"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customFormat="false" ht="15.75" hidden="false" customHeight="true" outlineLevel="0" collapsed="false"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customFormat="false" ht="15.75" hidden="false" customHeight="true" outlineLevel="0" collapsed="false"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customFormat="false" ht="15.75" hidden="false" customHeight="true" outlineLevel="0" collapsed="false"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customFormat="false" ht="15.75" hidden="false" customHeight="true" outlineLevel="0" collapsed="false"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customFormat="false" ht="15.75" hidden="false" customHeight="true" outlineLevel="0" collapsed="false"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customFormat="false" ht="15.75" hidden="false" customHeight="true" outlineLevel="0" collapsed="false"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customFormat="false" ht="15.75" hidden="false" customHeight="true" outlineLevel="0" collapsed="false"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customFormat="false" ht="15.75" hidden="false" customHeight="true" outlineLevel="0" collapsed="false"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customFormat="false" ht="15.75" hidden="false" customHeight="true" outlineLevel="0" collapsed="false"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customFormat="false" ht="15.75" hidden="false" customHeight="true" outlineLevel="0" collapsed="false"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customFormat="false" ht="15.75" hidden="false" customHeight="true" outlineLevel="0" collapsed="false"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customFormat="false" ht="15.75" hidden="false" customHeight="true" outlineLevel="0" collapsed="false"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customFormat="false" ht="15.75" hidden="false" customHeight="true" outlineLevel="0" collapsed="false"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customFormat="false" ht="15.75" hidden="false" customHeight="true" outlineLevel="0" collapsed="false"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customFormat="false" ht="15.75" hidden="false" customHeight="true" outlineLevel="0" collapsed="false"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customFormat="false" ht="15.75" hidden="false" customHeight="true" outlineLevel="0" collapsed="false"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customFormat="false" ht="15.75" hidden="false" customHeight="true" outlineLevel="0" collapsed="false"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customFormat="false" ht="15.75" hidden="false" customHeight="true" outlineLevel="0" collapsed="false"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customFormat="false" ht="15.75" hidden="false" customHeight="true" outlineLevel="0" collapsed="false"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customFormat="false" ht="15.75" hidden="false" customHeight="true" outlineLevel="0" collapsed="false"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customFormat="false" ht="15.75" hidden="false" customHeight="true" outlineLevel="0" collapsed="false"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customFormat="false" ht="15.75" hidden="false" customHeight="true" outlineLevel="0" collapsed="false"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customFormat="false" ht="15.75" hidden="false" customHeight="true" outlineLevel="0" collapsed="false"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customFormat="false" ht="15.75" hidden="false" customHeight="true" outlineLevel="0" collapsed="false"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customFormat="false" ht="15.75" hidden="false" customHeight="true" outlineLevel="0" collapsed="false"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customFormat="false" ht="15.75" hidden="false" customHeight="true" outlineLevel="0" collapsed="false"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customFormat="false" ht="15.75" hidden="false" customHeight="true" outlineLevel="0" collapsed="false"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customFormat="false" ht="15.75" hidden="false" customHeight="true" outlineLevel="0" collapsed="false"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customFormat="false" ht="15.75" hidden="false" customHeight="true" outlineLevel="0" collapsed="false"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customFormat="false" ht="15.75" hidden="false" customHeight="true" outlineLevel="0" collapsed="false"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customFormat="false" ht="15.75" hidden="false" customHeight="true" outlineLevel="0" collapsed="false"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customFormat="false" ht="15.75" hidden="false" customHeight="true" outlineLevel="0" collapsed="false"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customFormat="false" ht="15.75" hidden="false" customHeight="true" outlineLevel="0" collapsed="false"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customFormat="false" ht="15.75" hidden="false" customHeight="true" outlineLevel="0" collapsed="false"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customFormat="false" ht="15.75" hidden="false" customHeight="true" outlineLevel="0" collapsed="false"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customFormat="false" ht="15.75" hidden="false" customHeight="true" outlineLevel="0" collapsed="false"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customFormat="false" ht="15.75" hidden="false" customHeight="true" outlineLevel="0" collapsed="false"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customFormat="false" ht="15.75" hidden="false" customHeight="true" outlineLevel="0" collapsed="false"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customFormat="false" ht="15.75" hidden="false" customHeight="true" outlineLevel="0" collapsed="false"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customFormat="false" ht="15.75" hidden="false" customHeight="true" outlineLevel="0" collapsed="false"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customFormat="false" ht="15.75" hidden="false" customHeight="true" outlineLevel="0" collapsed="false"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customFormat="false" ht="15.75" hidden="false" customHeight="true" outlineLevel="0" collapsed="false"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customFormat="false" ht="15.75" hidden="false" customHeight="true" outlineLevel="0" collapsed="false"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customFormat="false" ht="15.75" hidden="false" customHeight="true" outlineLevel="0" collapsed="false"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customFormat="false" ht="15.75" hidden="false" customHeight="true" outlineLevel="0" collapsed="false"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customFormat="false" ht="15.75" hidden="false" customHeight="true" outlineLevel="0" collapsed="false"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customFormat="false" ht="15.75" hidden="false" customHeight="true" outlineLevel="0" collapsed="false"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customFormat="false" ht="15.75" hidden="false" customHeight="true" outlineLevel="0" collapsed="false"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customFormat="false" ht="15.75" hidden="false" customHeight="true" outlineLevel="0" collapsed="false"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customFormat="false" ht="15.75" hidden="false" customHeight="true" outlineLevel="0" collapsed="false"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customFormat="false" ht="15.75" hidden="false" customHeight="true" outlineLevel="0" collapsed="false"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customFormat="false" ht="15.75" hidden="false" customHeight="true" outlineLevel="0" collapsed="false"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customFormat="false" ht="15.75" hidden="false" customHeight="true" outlineLevel="0" collapsed="false"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customFormat="false" ht="15.75" hidden="false" customHeight="true" outlineLevel="0" collapsed="false"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customFormat="false" ht="15.75" hidden="false" customHeight="true" outlineLevel="0" collapsed="false"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customFormat="false" ht="15.75" hidden="false" customHeight="true" outlineLevel="0" collapsed="false"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customFormat="false" ht="15.75" hidden="false" customHeight="true" outlineLevel="0" collapsed="false"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customFormat="false" ht="15.75" hidden="false" customHeight="true" outlineLevel="0" collapsed="false"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customFormat="false" ht="15.75" hidden="false" customHeight="true" outlineLevel="0" collapsed="false"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customFormat="false" ht="15.75" hidden="false" customHeight="true" outlineLevel="0" collapsed="false"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customFormat="false" ht="15.75" hidden="false" customHeight="true" outlineLevel="0" collapsed="false"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customFormat="false" ht="15.75" hidden="false" customHeight="true" outlineLevel="0" collapsed="false"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customFormat="false" ht="15.75" hidden="false" customHeight="true" outlineLevel="0" collapsed="false"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customFormat="false" ht="15.75" hidden="false" customHeight="true" outlineLevel="0" collapsed="false"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customFormat="false" ht="15.75" hidden="false" customHeight="true" outlineLevel="0" collapsed="false"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customFormat="false" ht="15.75" hidden="false" customHeight="true" outlineLevel="0" collapsed="false"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customFormat="false" ht="15.75" hidden="false" customHeight="true" outlineLevel="0" collapsed="false"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customFormat="false" ht="15.75" hidden="false" customHeight="true" outlineLevel="0" collapsed="false"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customFormat="false" ht="15.75" hidden="false" customHeight="true" outlineLevel="0" collapsed="false"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customFormat="false" ht="15.75" hidden="false" customHeight="true" outlineLevel="0" collapsed="false"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customFormat="false" ht="15.75" hidden="false" customHeight="true" outlineLevel="0" collapsed="false"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customFormat="false" ht="15.75" hidden="false" customHeight="true" outlineLevel="0" collapsed="false"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customFormat="false" ht="15.75" hidden="false" customHeight="true" outlineLevel="0" collapsed="false"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customFormat="false" ht="15.75" hidden="false" customHeight="true" outlineLevel="0" collapsed="false"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customFormat="false" ht="15.75" hidden="false" customHeight="true" outlineLevel="0" collapsed="false"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customFormat="false" ht="15.75" hidden="false" customHeight="true" outlineLevel="0" collapsed="false"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customFormat="false" ht="15.75" hidden="false" customHeight="true" outlineLevel="0" collapsed="false"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customFormat="false" ht="15.75" hidden="false" customHeight="true" outlineLevel="0" collapsed="false"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customFormat="false" ht="15.75" hidden="false" customHeight="true" outlineLevel="0" collapsed="false"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customFormat="false" ht="15.75" hidden="false" customHeight="true" outlineLevel="0" collapsed="false"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customFormat="false" ht="15.75" hidden="false" customHeight="true" outlineLevel="0" collapsed="false"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customFormat="false" ht="15.75" hidden="false" customHeight="true" outlineLevel="0" collapsed="false"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customFormat="false" ht="15.75" hidden="false" customHeight="true" outlineLevel="0" collapsed="false"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customFormat="false" ht="15.75" hidden="false" customHeight="true" outlineLevel="0" collapsed="false"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customFormat="false" ht="15.75" hidden="false" customHeight="true" outlineLevel="0" collapsed="false"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customFormat="false" ht="15.75" hidden="false" customHeight="true" outlineLevel="0" collapsed="false"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customFormat="false" ht="15.75" hidden="false" customHeight="true" outlineLevel="0" collapsed="false"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customFormat="false" ht="15.75" hidden="false" customHeight="true" outlineLevel="0" collapsed="false"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customFormat="false" ht="15.75" hidden="false" customHeight="true" outlineLevel="0" collapsed="false"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customFormat="false" ht="15.75" hidden="false" customHeight="true" outlineLevel="0" collapsed="false"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customFormat="false" ht="15.75" hidden="false" customHeight="true" outlineLevel="0" collapsed="false"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customFormat="false" ht="15.75" hidden="false" customHeight="true" outlineLevel="0" collapsed="false"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customFormat="false" ht="15.75" hidden="false" customHeight="true" outlineLevel="0" collapsed="false"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customFormat="false" ht="15.75" hidden="false" customHeight="true" outlineLevel="0" collapsed="false"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customFormat="false" ht="15.75" hidden="false" customHeight="true" outlineLevel="0" collapsed="false"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customFormat="false" ht="15.75" hidden="false" customHeight="true" outlineLevel="0" collapsed="false"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customFormat="false" ht="15.75" hidden="false" customHeight="true" outlineLevel="0" collapsed="false"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customFormat="false" ht="15.75" hidden="false" customHeight="true" outlineLevel="0" collapsed="false"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customFormat="false" ht="15.75" hidden="false" customHeight="true" outlineLevel="0" collapsed="false"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customFormat="false" ht="15.75" hidden="false" customHeight="true" outlineLevel="0" collapsed="false"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customFormat="false" ht="15.75" hidden="false" customHeight="true" outlineLevel="0" collapsed="false"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customFormat="false" ht="15.75" hidden="false" customHeight="true" outlineLevel="0" collapsed="false"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customFormat="false" ht="15.75" hidden="false" customHeight="true" outlineLevel="0" collapsed="false"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customFormat="false" ht="15.75" hidden="false" customHeight="true" outlineLevel="0" collapsed="false"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customFormat="false" ht="15.75" hidden="false" customHeight="true" outlineLevel="0" collapsed="false"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customFormat="false" ht="15.75" hidden="false" customHeight="true" outlineLevel="0" collapsed="false"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customFormat="false" ht="15.75" hidden="false" customHeight="true" outlineLevel="0" collapsed="false"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customFormat="false" ht="15.75" hidden="false" customHeight="true" outlineLevel="0" collapsed="false"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customFormat="false" ht="15.75" hidden="false" customHeight="true" outlineLevel="0" collapsed="false"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customFormat="false" ht="15.75" hidden="false" customHeight="true" outlineLevel="0" collapsed="false"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customFormat="false" ht="15.75" hidden="false" customHeight="true" outlineLevel="0" collapsed="false"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customFormat="false" ht="15.75" hidden="false" customHeight="true" outlineLevel="0" collapsed="false"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customFormat="false" ht="15.75" hidden="false" customHeight="true" outlineLevel="0" collapsed="false"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customFormat="false" ht="15.75" hidden="false" customHeight="true" outlineLevel="0" collapsed="false"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customFormat="false" ht="15.75" hidden="false" customHeight="true" outlineLevel="0" collapsed="false"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customFormat="false" ht="15.75" hidden="false" customHeight="true" outlineLevel="0" collapsed="false"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customFormat="false" ht="15.75" hidden="false" customHeight="true" outlineLevel="0" collapsed="false"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customFormat="false" ht="15.75" hidden="false" customHeight="true" outlineLevel="0" collapsed="false"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customFormat="false" ht="15.75" hidden="false" customHeight="true" outlineLevel="0" collapsed="false"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customFormat="false" ht="15.75" hidden="false" customHeight="true" outlineLevel="0" collapsed="false"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customFormat="false" ht="15.75" hidden="false" customHeight="true" outlineLevel="0" collapsed="false"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customFormat="false" ht="15.75" hidden="false" customHeight="true" outlineLevel="0" collapsed="false"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customFormat="false" ht="15.75" hidden="false" customHeight="true" outlineLevel="0" collapsed="false"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customFormat="false" ht="15.75" hidden="false" customHeight="true" outlineLevel="0" collapsed="false"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customFormat="false" ht="15.75" hidden="false" customHeight="true" outlineLevel="0" collapsed="false"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customFormat="false" ht="15.75" hidden="false" customHeight="true" outlineLevel="0" collapsed="false"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customFormat="false" ht="15.75" hidden="false" customHeight="true" outlineLevel="0" collapsed="false"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customFormat="false" ht="15.75" hidden="false" customHeight="true" outlineLevel="0" collapsed="false"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customFormat="false" ht="15.75" hidden="false" customHeight="true" outlineLevel="0" collapsed="false"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customFormat="false" ht="15.75" hidden="false" customHeight="true" outlineLevel="0" collapsed="false"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customFormat="false" ht="15.75" hidden="false" customHeight="true" outlineLevel="0" collapsed="false"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customFormat="false" ht="15.75" hidden="false" customHeight="true" outlineLevel="0" collapsed="false"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customFormat="false" ht="15.75" hidden="false" customHeight="true" outlineLevel="0" collapsed="false"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customFormat="false" ht="15.75" hidden="false" customHeight="true" outlineLevel="0" collapsed="false"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customFormat="false" ht="15.75" hidden="false" customHeight="true" outlineLevel="0" collapsed="false"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customFormat="false" ht="15.75" hidden="false" customHeight="true" outlineLevel="0" collapsed="false"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customFormat="false" ht="15.75" hidden="false" customHeight="true" outlineLevel="0" collapsed="false"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customFormat="false" ht="15.75" hidden="false" customHeight="true" outlineLevel="0" collapsed="false"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customFormat="false" ht="15.75" hidden="false" customHeight="true" outlineLevel="0" collapsed="false"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customFormat="false" ht="15.75" hidden="false" customHeight="true" outlineLevel="0" collapsed="false"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customFormat="false" ht="15.75" hidden="false" customHeight="true" outlineLevel="0" collapsed="false"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customFormat="false" ht="15.75" hidden="false" customHeight="true" outlineLevel="0" collapsed="false"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customFormat="false" ht="15.75" hidden="false" customHeight="true" outlineLevel="0" collapsed="false"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customFormat="false" ht="15.75" hidden="false" customHeight="true" outlineLevel="0" collapsed="false"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customFormat="false" ht="15.75" hidden="false" customHeight="true" outlineLevel="0" collapsed="false"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customFormat="false" ht="15.75" hidden="false" customHeight="true" outlineLevel="0" collapsed="false"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customFormat="false" ht="15.75" hidden="false" customHeight="true" outlineLevel="0" collapsed="false"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customFormat="false" ht="15.75" hidden="false" customHeight="true" outlineLevel="0" collapsed="false"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customFormat="false" ht="15.75" hidden="false" customHeight="true" outlineLevel="0" collapsed="false"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customFormat="false" ht="15.75" hidden="false" customHeight="true" outlineLevel="0" collapsed="false"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customFormat="false" ht="15.75" hidden="false" customHeight="true" outlineLevel="0" collapsed="false"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customFormat="false" ht="15.75" hidden="false" customHeight="true" outlineLevel="0" collapsed="false"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customFormat="false" ht="15.75" hidden="false" customHeight="true" outlineLevel="0" collapsed="false"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customFormat="false" ht="15.75" hidden="false" customHeight="true" outlineLevel="0" collapsed="false"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customFormat="false" ht="15.75" hidden="false" customHeight="true" outlineLevel="0" collapsed="false"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customFormat="false" ht="15.75" hidden="false" customHeight="true" outlineLevel="0" collapsed="false"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customFormat="false" ht="15.75" hidden="false" customHeight="true" outlineLevel="0" collapsed="false"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customFormat="false" ht="15.75" hidden="false" customHeight="true" outlineLevel="0" collapsed="false"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customFormat="false" ht="15.75" hidden="false" customHeight="true" outlineLevel="0" collapsed="false"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customFormat="false" ht="15.75" hidden="false" customHeight="true" outlineLevel="0" collapsed="false"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customFormat="false" ht="15.75" hidden="false" customHeight="true" outlineLevel="0" collapsed="false"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customFormat="false" ht="15.75" hidden="false" customHeight="true" outlineLevel="0" collapsed="false"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customFormat="false" ht="15.75" hidden="false" customHeight="true" outlineLevel="0" collapsed="false"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customFormat="false" ht="15.75" hidden="false" customHeight="true" outlineLevel="0" collapsed="false"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customFormat="false" ht="15.75" hidden="false" customHeight="true" outlineLevel="0" collapsed="false"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customFormat="false" ht="15.75" hidden="false" customHeight="true" outlineLevel="0" collapsed="false"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customFormat="false" ht="15.75" hidden="false" customHeight="true" outlineLevel="0" collapsed="false"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customFormat="false" ht="15.75" hidden="false" customHeight="true" outlineLevel="0" collapsed="false"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customFormat="false" ht="15.75" hidden="false" customHeight="true" outlineLevel="0" collapsed="false"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customFormat="false" ht="15.75" hidden="false" customHeight="true" outlineLevel="0" collapsed="false"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customFormat="false" ht="15.75" hidden="false" customHeight="true" outlineLevel="0" collapsed="false"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customFormat="false" ht="15.75" hidden="false" customHeight="true" outlineLevel="0" collapsed="false"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customFormat="false" ht="15.75" hidden="false" customHeight="true" outlineLevel="0" collapsed="false"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customFormat="false" ht="15.75" hidden="false" customHeight="true" outlineLevel="0" collapsed="false"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customFormat="false" ht="15.75" hidden="false" customHeight="true" outlineLevel="0" collapsed="false"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customFormat="false" ht="15.75" hidden="false" customHeight="true" outlineLevel="0" collapsed="false"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customFormat="false" ht="15.75" hidden="false" customHeight="true" outlineLevel="0" collapsed="false"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customFormat="false" ht="15.75" hidden="false" customHeight="true" outlineLevel="0" collapsed="false"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customFormat="false" ht="15.75" hidden="false" customHeight="true" outlineLevel="0" collapsed="false"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customFormat="false" ht="15.75" hidden="false" customHeight="true" outlineLevel="0" collapsed="false"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customFormat="false" ht="15.75" hidden="false" customHeight="true" outlineLevel="0" collapsed="false"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customFormat="false" ht="15.75" hidden="false" customHeight="true" outlineLevel="0" collapsed="false"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customFormat="false" ht="15.75" hidden="false" customHeight="true" outlineLevel="0" collapsed="false"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customFormat="false" ht="15.75" hidden="false" customHeight="true" outlineLevel="0" collapsed="false"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customFormat="false" ht="15.75" hidden="false" customHeight="true" outlineLevel="0" collapsed="false"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customFormat="false" ht="15.75" hidden="false" customHeight="true" outlineLevel="0" collapsed="false"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customFormat="false" ht="15.75" hidden="false" customHeight="true" outlineLevel="0" collapsed="false"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customFormat="false" ht="15.75" hidden="false" customHeight="true" outlineLevel="0" collapsed="false"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customFormat="false" ht="15.75" hidden="false" customHeight="true" outlineLevel="0" collapsed="false"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customFormat="false" ht="15.75" hidden="false" customHeight="true" outlineLevel="0" collapsed="false"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customFormat="false" ht="15.75" hidden="false" customHeight="true" outlineLevel="0" collapsed="false"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customFormat="false" ht="15.75" hidden="false" customHeight="true" outlineLevel="0" collapsed="false"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customFormat="false" ht="15.75" hidden="false" customHeight="true" outlineLevel="0" collapsed="false"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customFormat="false" ht="15.75" hidden="false" customHeight="true" outlineLevel="0" collapsed="false"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customFormat="false" ht="15.75" hidden="false" customHeight="true" outlineLevel="0" collapsed="false"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customFormat="false" ht="15.75" hidden="false" customHeight="true" outlineLevel="0" collapsed="false"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customFormat="false" ht="15.75" hidden="false" customHeight="true" outlineLevel="0" collapsed="false"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customFormat="false" ht="15.75" hidden="false" customHeight="true" outlineLevel="0" collapsed="false"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customFormat="false" ht="15.75" hidden="false" customHeight="true" outlineLevel="0" collapsed="false"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customFormat="false" ht="15.75" hidden="false" customHeight="true" outlineLevel="0" collapsed="false"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customFormat="false" ht="15.75" hidden="false" customHeight="true" outlineLevel="0" collapsed="false"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customFormat="false" ht="15.75" hidden="false" customHeight="true" outlineLevel="0" collapsed="false"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customFormat="false" ht="15.75" hidden="false" customHeight="true" outlineLevel="0" collapsed="false"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customFormat="false" ht="15.75" hidden="false" customHeight="true" outlineLevel="0" collapsed="false"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customFormat="false" ht="15.75" hidden="false" customHeight="true" outlineLevel="0" collapsed="false"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customFormat="false" ht="15.75" hidden="false" customHeight="true" outlineLevel="0" collapsed="false"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customFormat="false" ht="15.75" hidden="false" customHeight="true" outlineLevel="0" collapsed="false"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customFormat="false" ht="15.75" hidden="false" customHeight="true" outlineLevel="0" collapsed="false"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customFormat="false" ht="15.75" hidden="false" customHeight="true" outlineLevel="0" collapsed="false"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customFormat="false" ht="15.75" hidden="false" customHeight="true" outlineLevel="0" collapsed="false"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customFormat="false" ht="15.75" hidden="false" customHeight="true" outlineLevel="0" collapsed="false"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customFormat="false" ht="15.75" hidden="false" customHeight="true" outlineLevel="0" collapsed="false"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customFormat="false" ht="15.75" hidden="false" customHeight="true" outlineLevel="0" collapsed="false"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customFormat="false" ht="15.75" hidden="false" customHeight="true" outlineLevel="0" collapsed="false"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customFormat="false" ht="15.75" hidden="false" customHeight="true" outlineLevel="0" collapsed="false"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customFormat="false" ht="15.75" hidden="false" customHeight="true" outlineLevel="0" collapsed="false"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customFormat="false" ht="15.75" hidden="false" customHeight="true" outlineLevel="0" collapsed="false"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customFormat="false" ht="15.75" hidden="false" customHeight="true" outlineLevel="0" collapsed="false"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customFormat="false" ht="15.75" hidden="false" customHeight="true" outlineLevel="0" collapsed="false"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customFormat="false" ht="15.75" hidden="false" customHeight="true" outlineLevel="0" collapsed="false"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customFormat="false" ht="15.75" hidden="false" customHeight="true" outlineLevel="0" collapsed="false"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customFormat="false" ht="15.75" hidden="false" customHeight="true" outlineLevel="0" collapsed="false"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customFormat="false" ht="15.75" hidden="false" customHeight="true" outlineLevel="0" collapsed="false"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customFormat="false" ht="15.75" hidden="false" customHeight="true" outlineLevel="0" collapsed="false"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customFormat="false" ht="15.75" hidden="false" customHeight="true" outlineLevel="0" collapsed="false"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customFormat="false" ht="15.75" hidden="false" customHeight="true" outlineLevel="0" collapsed="false"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customFormat="false" ht="15.75" hidden="false" customHeight="true" outlineLevel="0" collapsed="false"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customFormat="false" ht="15.75" hidden="false" customHeight="true" outlineLevel="0" collapsed="false"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customFormat="false" ht="15.75" hidden="false" customHeight="true" outlineLevel="0" collapsed="false"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customFormat="false" ht="15.75" hidden="false" customHeight="true" outlineLevel="0" collapsed="false"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customFormat="false" ht="15.75" hidden="false" customHeight="true" outlineLevel="0" collapsed="false"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customFormat="false" ht="15.75" hidden="false" customHeight="true" outlineLevel="0" collapsed="false"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customFormat="false" ht="15.75" hidden="false" customHeight="true" outlineLevel="0" collapsed="false"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customFormat="false" ht="15.75" hidden="false" customHeight="true" outlineLevel="0" collapsed="false"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customFormat="false" ht="15.75" hidden="false" customHeight="true" outlineLevel="0" collapsed="false"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customFormat="false" ht="15.75" hidden="false" customHeight="true" outlineLevel="0" collapsed="false"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customFormat="false" ht="15.75" hidden="false" customHeight="true" outlineLevel="0" collapsed="false"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customFormat="false" ht="15.75" hidden="false" customHeight="true" outlineLevel="0" collapsed="false"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customFormat="false" ht="15.75" hidden="false" customHeight="true" outlineLevel="0" collapsed="false"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customFormat="false" ht="15.75" hidden="false" customHeight="true" outlineLevel="0" collapsed="false"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customFormat="false" ht="15.75" hidden="false" customHeight="true" outlineLevel="0" collapsed="false"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customFormat="false" ht="15.75" hidden="false" customHeight="true" outlineLevel="0" collapsed="false"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customFormat="false" ht="15.75" hidden="false" customHeight="true" outlineLevel="0" collapsed="false"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customFormat="false" ht="15.75" hidden="false" customHeight="true" outlineLevel="0" collapsed="false"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customFormat="false" ht="15.75" hidden="false" customHeight="true" outlineLevel="0" collapsed="false"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customFormat="false" ht="15.75" hidden="false" customHeight="true" outlineLevel="0" collapsed="false"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customFormat="false" ht="15.75" hidden="false" customHeight="true" outlineLevel="0" collapsed="false"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customFormat="false" ht="15.75" hidden="false" customHeight="true" outlineLevel="0" collapsed="false"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customFormat="false" ht="15.75" hidden="false" customHeight="true" outlineLevel="0" collapsed="false"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customFormat="false" ht="15.75" hidden="false" customHeight="true" outlineLevel="0" collapsed="false"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customFormat="false" ht="15.75" hidden="false" customHeight="true" outlineLevel="0" collapsed="false"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customFormat="false" ht="15.75" hidden="false" customHeight="true" outlineLevel="0" collapsed="false"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customFormat="false" ht="15.75" hidden="false" customHeight="true" outlineLevel="0" collapsed="false"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customFormat="false" ht="15.75" hidden="false" customHeight="true" outlineLevel="0" collapsed="false"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customFormat="false" ht="15.75" hidden="false" customHeight="true" outlineLevel="0" collapsed="false"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customFormat="false" ht="15.75" hidden="false" customHeight="true" outlineLevel="0" collapsed="false"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customFormat="false" ht="15.75" hidden="false" customHeight="true" outlineLevel="0" collapsed="false"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customFormat="false" ht="15.75" hidden="false" customHeight="true" outlineLevel="0" collapsed="false"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customFormat="false" ht="15.75" hidden="false" customHeight="true" outlineLevel="0" collapsed="false"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customFormat="false" ht="15.75" hidden="false" customHeight="true" outlineLevel="0" collapsed="false"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customFormat="false" ht="15.75" hidden="false" customHeight="true" outlineLevel="0" collapsed="false"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customFormat="false" ht="15.75" hidden="false" customHeight="true" outlineLevel="0" collapsed="false"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customFormat="false" ht="15.75" hidden="false" customHeight="true" outlineLevel="0" collapsed="false"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customFormat="false" ht="15.75" hidden="false" customHeight="true" outlineLevel="0" collapsed="false"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customFormat="false" ht="15.75" hidden="false" customHeight="true" outlineLevel="0" collapsed="false"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customFormat="false" ht="15.75" hidden="false" customHeight="true" outlineLevel="0" collapsed="false"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customFormat="false" ht="15.75" hidden="false" customHeight="true" outlineLevel="0" collapsed="false"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customFormat="false" ht="15.75" hidden="false" customHeight="true" outlineLevel="0" collapsed="false"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customFormat="false" ht="15.75" hidden="false" customHeight="true" outlineLevel="0" collapsed="false"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customFormat="false" ht="15.75" hidden="false" customHeight="true" outlineLevel="0" collapsed="false"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customFormat="false" ht="15.75" hidden="false" customHeight="true" outlineLevel="0" collapsed="false"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customFormat="false" ht="15.75" hidden="false" customHeight="true" outlineLevel="0" collapsed="false"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customFormat="false" ht="15.75" hidden="false" customHeight="true" outlineLevel="0" collapsed="false"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customFormat="false" ht="15.75" hidden="false" customHeight="true" outlineLevel="0" collapsed="false"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customFormat="false" ht="15.75" hidden="false" customHeight="true" outlineLevel="0" collapsed="false"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customFormat="false" ht="15.75" hidden="false" customHeight="true" outlineLevel="0" collapsed="false"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customFormat="false" ht="15.75" hidden="false" customHeight="true" outlineLevel="0" collapsed="false"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customFormat="false" ht="15.75" hidden="false" customHeight="true" outlineLevel="0" collapsed="false"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customFormat="false" ht="15.75" hidden="false" customHeight="true" outlineLevel="0" collapsed="false"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customFormat="false" ht="15.75" hidden="false" customHeight="true" outlineLevel="0" collapsed="false"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customFormat="false" ht="15.75" hidden="false" customHeight="true" outlineLevel="0" collapsed="false"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customFormat="false" ht="15.75" hidden="false" customHeight="true" outlineLevel="0" collapsed="false"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customFormat="false" ht="15.75" hidden="false" customHeight="true" outlineLevel="0" collapsed="false"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customFormat="false" ht="15.75" hidden="false" customHeight="true" outlineLevel="0" collapsed="false"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customFormat="false" ht="15.75" hidden="false" customHeight="true" outlineLevel="0" collapsed="false"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customFormat="false" ht="15.75" hidden="false" customHeight="true" outlineLevel="0" collapsed="false"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customFormat="false" ht="15.75" hidden="false" customHeight="true" outlineLevel="0" collapsed="false"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customFormat="false" ht="15.75" hidden="false" customHeight="true" outlineLevel="0" collapsed="false"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customFormat="false" ht="15.75" hidden="false" customHeight="true" outlineLevel="0" collapsed="false"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customFormat="false" ht="15.75" hidden="false" customHeight="true" outlineLevel="0" collapsed="false"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customFormat="false" ht="15.75" hidden="false" customHeight="true" outlineLevel="0" collapsed="false"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customFormat="false" ht="15.75" hidden="false" customHeight="true" outlineLevel="0" collapsed="false"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customFormat="false" ht="15.75" hidden="false" customHeight="true" outlineLevel="0" collapsed="false"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customFormat="false" ht="15.75" hidden="false" customHeight="true" outlineLevel="0" collapsed="false"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customFormat="false" ht="15.75" hidden="false" customHeight="true" outlineLevel="0" collapsed="false"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customFormat="false" ht="15.75" hidden="false" customHeight="true" outlineLevel="0" collapsed="false"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customFormat="false" ht="15.75" hidden="false" customHeight="true" outlineLevel="0" collapsed="false"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customFormat="false" ht="15.75" hidden="false" customHeight="true" outlineLevel="0" collapsed="false"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customFormat="false" ht="15.75" hidden="false" customHeight="true" outlineLevel="0" collapsed="false"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customFormat="false" ht="15.75" hidden="false" customHeight="true" outlineLevel="0" collapsed="false"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customFormat="false" ht="15.75" hidden="false" customHeight="true" outlineLevel="0" collapsed="false"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customFormat="false" ht="15.75" hidden="false" customHeight="true" outlineLevel="0" collapsed="false"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customFormat="false" ht="15.75" hidden="false" customHeight="true" outlineLevel="0" collapsed="false"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customFormat="false" ht="15.75" hidden="false" customHeight="true" outlineLevel="0" collapsed="false"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customFormat="false" ht="15.75" hidden="false" customHeight="true" outlineLevel="0" collapsed="false"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customFormat="false" ht="15.75" hidden="false" customHeight="true" outlineLevel="0" collapsed="false"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customFormat="false" ht="15.75" hidden="false" customHeight="true" outlineLevel="0" collapsed="false"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customFormat="false" ht="15.75" hidden="false" customHeight="true" outlineLevel="0" collapsed="false"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customFormat="false" ht="15.75" hidden="false" customHeight="true" outlineLevel="0" collapsed="false"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customFormat="false" ht="15.75" hidden="false" customHeight="true" outlineLevel="0" collapsed="false"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customFormat="false" ht="15.75" hidden="false" customHeight="true" outlineLevel="0" collapsed="false"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customFormat="false" ht="15.75" hidden="false" customHeight="true" outlineLevel="0" collapsed="false"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customFormat="false" ht="15.75" hidden="false" customHeight="true" outlineLevel="0" collapsed="false"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customFormat="false" ht="15.75" hidden="false" customHeight="true" outlineLevel="0" collapsed="false"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customFormat="false" ht="15.75" hidden="false" customHeight="true" outlineLevel="0" collapsed="false"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customFormat="false" ht="15.75" hidden="false" customHeight="true" outlineLevel="0" collapsed="false"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customFormat="false" ht="15.75" hidden="false" customHeight="true" outlineLevel="0" collapsed="false"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customFormat="false" ht="15.75" hidden="false" customHeight="true" outlineLevel="0" collapsed="false"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customFormat="false" ht="15.75" hidden="false" customHeight="true" outlineLevel="0" collapsed="false"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customFormat="false" ht="15.75" hidden="false" customHeight="true" outlineLevel="0" collapsed="false"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customFormat="false" ht="15.75" hidden="false" customHeight="true" outlineLevel="0" collapsed="false"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customFormat="false" ht="15.75" hidden="false" customHeight="true" outlineLevel="0" collapsed="false"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customFormat="false" ht="15.75" hidden="false" customHeight="true" outlineLevel="0" collapsed="false"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customFormat="false" ht="15.75" hidden="false" customHeight="true" outlineLevel="0" collapsed="false"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customFormat="false" ht="15.75" hidden="false" customHeight="true" outlineLevel="0" collapsed="false"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customFormat="false" ht="15.75" hidden="false" customHeight="true" outlineLevel="0" collapsed="false"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customFormat="false" ht="15.75" hidden="false" customHeight="true" outlineLevel="0" collapsed="false"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customFormat="false" ht="15.75" hidden="false" customHeight="true" outlineLevel="0" collapsed="false"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customFormat="false" ht="15.75" hidden="false" customHeight="true" outlineLevel="0" collapsed="false"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customFormat="false" ht="15.75" hidden="false" customHeight="true" outlineLevel="0" collapsed="false"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customFormat="false" ht="15.75" hidden="false" customHeight="true" outlineLevel="0" collapsed="false"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customFormat="false" ht="15.75" hidden="false" customHeight="true" outlineLevel="0" collapsed="false"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customFormat="false" ht="15.75" hidden="false" customHeight="true" outlineLevel="0" collapsed="false"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customFormat="false" ht="15.75" hidden="false" customHeight="true" outlineLevel="0" collapsed="false"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customFormat="false" ht="15.75" hidden="false" customHeight="true" outlineLevel="0" collapsed="false"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customFormat="false" ht="15.75" hidden="false" customHeight="true" outlineLevel="0" collapsed="false"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customFormat="false" ht="15.75" hidden="false" customHeight="true" outlineLevel="0" collapsed="false"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customFormat="false" ht="15.75" hidden="false" customHeight="true" outlineLevel="0" collapsed="false"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customFormat="false" ht="15.75" hidden="false" customHeight="true" outlineLevel="0" collapsed="false"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customFormat="false" ht="15.75" hidden="false" customHeight="true" outlineLevel="0" collapsed="false"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customFormat="false" ht="15.75" hidden="false" customHeight="true" outlineLevel="0" collapsed="false"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customFormat="false" ht="15.75" hidden="false" customHeight="true" outlineLevel="0" collapsed="false"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customFormat="false" ht="15.75" hidden="false" customHeight="true" outlineLevel="0" collapsed="false"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customFormat="false" ht="15.75" hidden="false" customHeight="true" outlineLevel="0" collapsed="false"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customFormat="false" ht="15.75" hidden="false" customHeight="true" outlineLevel="0" collapsed="false"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customFormat="false" ht="15.75" hidden="false" customHeight="true" outlineLevel="0" collapsed="false"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customFormat="false" ht="15.75" hidden="false" customHeight="true" outlineLevel="0" collapsed="false"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customFormat="false" ht="15.75" hidden="false" customHeight="true" outlineLevel="0" collapsed="false"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customFormat="false" ht="15.75" hidden="false" customHeight="true" outlineLevel="0" collapsed="false"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customFormat="false" ht="15.75" hidden="false" customHeight="true" outlineLevel="0" collapsed="false"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customFormat="false" ht="15.75" hidden="false" customHeight="true" outlineLevel="0" collapsed="false"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customFormat="false" ht="15.75" hidden="false" customHeight="true" outlineLevel="0" collapsed="false"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customFormat="false" ht="15.75" hidden="false" customHeight="true" outlineLevel="0" collapsed="false"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customFormat="false" ht="15.75" hidden="false" customHeight="true" outlineLevel="0" collapsed="false"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customFormat="false" ht="15.75" hidden="false" customHeight="true" outlineLevel="0" collapsed="false"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customFormat="false" ht="15.75" hidden="false" customHeight="true" outlineLevel="0" collapsed="false"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customFormat="false" ht="15.75" hidden="false" customHeight="true" outlineLevel="0" collapsed="false"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customFormat="false" ht="15.75" hidden="false" customHeight="true" outlineLevel="0" collapsed="false"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customFormat="false" ht="15.75" hidden="false" customHeight="true" outlineLevel="0" collapsed="false"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customFormat="false" ht="15.75" hidden="false" customHeight="true" outlineLevel="0" collapsed="false"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customFormat="false" ht="15.75" hidden="false" customHeight="true" outlineLevel="0" collapsed="false"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customFormat="false" ht="15.75" hidden="false" customHeight="true" outlineLevel="0" collapsed="false"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customFormat="false" ht="15.75" hidden="false" customHeight="true" outlineLevel="0" collapsed="false"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customFormat="false" ht="15.75" hidden="false" customHeight="true" outlineLevel="0" collapsed="false"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customFormat="false" ht="15.75" hidden="false" customHeight="true" outlineLevel="0" collapsed="false"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customFormat="false" ht="15.75" hidden="false" customHeight="true" outlineLevel="0" collapsed="false"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customFormat="false" ht="15.75" hidden="false" customHeight="true" outlineLevel="0" collapsed="false"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customFormat="false" ht="15.75" hidden="false" customHeight="true" outlineLevel="0" collapsed="false"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customFormat="false" ht="15.75" hidden="false" customHeight="true" outlineLevel="0" collapsed="false"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customFormat="false" ht="15.75" hidden="false" customHeight="true" outlineLevel="0" collapsed="false"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customFormat="false" ht="15.75" hidden="false" customHeight="true" outlineLevel="0" collapsed="false"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customFormat="false" ht="15.75" hidden="false" customHeight="true" outlineLevel="0" collapsed="false"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customFormat="false" ht="15.75" hidden="false" customHeight="true" outlineLevel="0" collapsed="false"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customFormat="false" ht="15.75" hidden="false" customHeight="true" outlineLevel="0" collapsed="false"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customFormat="false" ht="15.75" hidden="false" customHeight="true" outlineLevel="0" collapsed="false"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customFormat="false" ht="15.75" hidden="false" customHeight="true" outlineLevel="0" collapsed="false"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customFormat="false" ht="15.75" hidden="false" customHeight="true" outlineLevel="0" collapsed="false"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customFormat="false" ht="15.75" hidden="false" customHeight="true" outlineLevel="0" collapsed="false"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customFormat="false" ht="15.75" hidden="false" customHeight="true" outlineLevel="0" collapsed="false"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customFormat="false" ht="15.75" hidden="false" customHeight="true" outlineLevel="0" collapsed="false"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customFormat="false" ht="15.75" hidden="false" customHeight="true" outlineLevel="0" collapsed="false"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customFormat="false" ht="15.75" hidden="false" customHeight="true" outlineLevel="0" collapsed="false"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customFormat="false" ht="15.75" hidden="false" customHeight="true" outlineLevel="0" collapsed="false"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customFormat="false" ht="15.75" hidden="false" customHeight="true" outlineLevel="0" collapsed="false"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customFormat="false" ht="15.75" hidden="false" customHeight="true" outlineLevel="0" collapsed="false"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customFormat="false" ht="15.75" hidden="false" customHeight="true" outlineLevel="0" collapsed="false"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customFormat="false" ht="15.75" hidden="false" customHeight="true" outlineLevel="0" collapsed="false"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customFormat="false" ht="15.75" hidden="false" customHeight="true" outlineLevel="0" collapsed="false"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customFormat="false" ht="15.75" hidden="false" customHeight="true" outlineLevel="0" collapsed="false"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customFormat="false" ht="15.75" hidden="false" customHeight="true" outlineLevel="0" collapsed="false"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customFormat="false" ht="15.75" hidden="false" customHeight="true" outlineLevel="0" collapsed="false"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customFormat="false" ht="15.75" hidden="false" customHeight="true" outlineLevel="0" collapsed="false"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customFormat="false" ht="15.75" hidden="false" customHeight="true" outlineLevel="0" collapsed="false"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customFormat="false" ht="15.75" hidden="false" customHeight="true" outlineLevel="0" collapsed="false"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customFormat="false" ht="15.75" hidden="false" customHeight="true" outlineLevel="0" collapsed="false"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customFormat="false" ht="15.75" hidden="false" customHeight="true" outlineLevel="0" collapsed="false"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customFormat="false" ht="15.75" hidden="false" customHeight="true" outlineLevel="0" collapsed="false"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customFormat="false" ht="15.75" hidden="false" customHeight="true" outlineLevel="0" collapsed="false"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customFormat="false" ht="15.75" hidden="false" customHeight="true" outlineLevel="0" collapsed="false"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customFormat="false" ht="15.75" hidden="false" customHeight="true" outlineLevel="0" collapsed="false"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customFormat="false" ht="15.75" hidden="false" customHeight="true" outlineLevel="0" collapsed="false"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customFormat="false" ht="15.75" hidden="false" customHeight="true" outlineLevel="0" collapsed="false"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customFormat="false" ht="15.75" hidden="false" customHeight="true" outlineLevel="0" collapsed="false"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customFormat="false" ht="15.75" hidden="false" customHeight="true" outlineLevel="0" collapsed="false"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customFormat="false" ht="15.75" hidden="false" customHeight="true" outlineLevel="0" collapsed="false"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customFormat="false" ht="15.75" hidden="false" customHeight="true" outlineLevel="0" collapsed="false"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customFormat="false" ht="15.75" hidden="false" customHeight="true" outlineLevel="0" collapsed="false"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customFormat="false" ht="15.75" hidden="false" customHeight="true" outlineLevel="0" collapsed="false"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customFormat="false" ht="15.75" hidden="false" customHeight="true" outlineLevel="0" collapsed="false"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customFormat="false" ht="15.75" hidden="false" customHeight="true" outlineLevel="0" collapsed="false"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customFormat="false" ht="15.75" hidden="false" customHeight="true" outlineLevel="0" collapsed="false"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customFormat="false" ht="15.75" hidden="false" customHeight="true" outlineLevel="0" collapsed="false"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customFormat="false" ht="15.75" hidden="false" customHeight="true" outlineLevel="0" collapsed="false"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customFormat="false" ht="15.75" hidden="false" customHeight="true" outlineLevel="0" collapsed="false"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customFormat="false" ht="15.75" hidden="false" customHeight="true" outlineLevel="0" collapsed="false"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customFormat="false" ht="15.75" hidden="false" customHeight="true" outlineLevel="0" collapsed="false"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customFormat="false" ht="15.75" hidden="false" customHeight="true" outlineLevel="0" collapsed="false"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customFormat="false" ht="15.75" hidden="false" customHeight="true" outlineLevel="0" collapsed="false"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customFormat="false" ht="15.75" hidden="false" customHeight="true" outlineLevel="0" collapsed="false"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customFormat="false" ht="15.75" hidden="false" customHeight="true" outlineLevel="0" collapsed="false"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customFormat="false" ht="15.75" hidden="false" customHeight="true" outlineLevel="0" collapsed="false"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customFormat="false" ht="15.75" hidden="false" customHeight="true" outlineLevel="0" collapsed="false"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customFormat="false" ht="15.75" hidden="false" customHeight="true" outlineLevel="0" collapsed="false"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customFormat="false" ht="15.75" hidden="false" customHeight="true" outlineLevel="0" collapsed="false"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customFormat="false" ht="15.75" hidden="false" customHeight="true" outlineLevel="0" collapsed="false"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customFormat="false" ht="15.75" hidden="false" customHeight="true" outlineLevel="0" collapsed="false"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customFormat="false" ht="15.75" hidden="false" customHeight="true" outlineLevel="0" collapsed="false"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customFormat="false" ht="15.75" hidden="false" customHeight="true" outlineLevel="0" collapsed="false"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customFormat="false" ht="15.75" hidden="false" customHeight="true" outlineLevel="0" collapsed="false"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customFormat="false" ht="15.75" hidden="false" customHeight="true" outlineLevel="0" collapsed="false"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customFormat="false" ht="15.75" hidden="false" customHeight="true" outlineLevel="0" collapsed="false"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customFormat="false" ht="15.75" hidden="false" customHeight="true" outlineLevel="0" collapsed="false"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customFormat="false" ht="15.75" hidden="false" customHeight="true" outlineLevel="0" collapsed="false"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customFormat="false" ht="15.75" hidden="false" customHeight="true" outlineLevel="0" collapsed="false"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customFormat="false" ht="15.75" hidden="false" customHeight="true" outlineLevel="0" collapsed="false"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customFormat="false" ht="15.75" hidden="false" customHeight="true" outlineLevel="0" collapsed="false"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customFormat="false" ht="15.75" hidden="false" customHeight="true" outlineLevel="0" collapsed="false"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customFormat="false" ht="15.75" hidden="false" customHeight="true" outlineLevel="0" collapsed="false"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customFormat="false" ht="15.75" hidden="false" customHeight="true" outlineLevel="0" collapsed="false"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customFormat="false" ht="15.75" hidden="false" customHeight="true" outlineLevel="0" collapsed="false"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customFormat="false" ht="15.75" hidden="false" customHeight="true" outlineLevel="0" collapsed="false"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customFormat="false" ht="15.75" hidden="false" customHeight="true" outlineLevel="0" collapsed="false"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customFormat="false" ht="15.75" hidden="false" customHeight="true" outlineLevel="0" collapsed="false"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customFormat="false" ht="15.75" hidden="false" customHeight="true" outlineLevel="0" collapsed="false"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customFormat="false" ht="15.75" hidden="false" customHeight="true" outlineLevel="0" collapsed="false"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customFormat="false" ht="15.75" hidden="false" customHeight="true" outlineLevel="0" collapsed="false"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customFormat="false" ht="15.75" hidden="false" customHeight="true" outlineLevel="0" collapsed="false"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customFormat="false" ht="15.75" hidden="false" customHeight="true" outlineLevel="0" collapsed="false"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customFormat="false" ht="15.75" hidden="false" customHeight="true" outlineLevel="0" collapsed="false"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customFormat="false" ht="15.75" hidden="false" customHeight="true" outlineLevel="0" collapsed="false"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customFormat="false" ht="15.75" hidden="false" customHeight="true" outlineLevel="0" collapsed="false"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customFormat="false" ht="15.75" hidden="false" customHeight="true" outlineLevel="0" collapsed="false"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customFormat="false" ht="15.75" hidden="false" customHeight="true" outlineLevel="0" collapsed="false"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customFormat="false" ht="15.75" hidden="false" customHeight="true" outlineLevel="0" collapsed="false"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customFormat="false" ht="15.75" hidden="false" customHeight="true" outlineLevel="0" collapsed="false"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customFormat="false" ht="15.75" hidden="false" customHeight="true" outlineLevel="0" collapsed="false"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customFormat="false" ht="15.75" hidden="false" customHeight="true" outlineLevel="0" collapsed="false"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customFormat="false" ht="15.75" hidden="false" customHeight="true" outlineLevel="0" collapsed="false"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customFormat="false" ht="15.75" hidden="false" customHeight="true" outlineLevel="0" collapsed="false"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customFormat="false" ht="15.75" hidden="false" customHeight="true" outlineLevel="0" collapsed="false"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customFormat="false" ht="15.75" hidden="false" customHeight="true" outlineLevel="0" collapsed="false"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customFormat="false" ht="15.75" hidden="false" customHeight="true" outlineLevel="0" collapsed="false"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customFormat="false" ht="15.75" hidden="false" customHeight="true" outlineLevel="0" collapsed="false"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customFormat="false" ht="15.75" hidden="false" customHeight="true" outlineLevel="0" collapsed="false"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customFormat="false" ht="15.75" hidden="false" customHeight="true" outlineLevel="0" collapsed="false"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customFormat="false" ht="15.75" hidden="false" customHeight="true" outlineLevel="0" collapsed="false"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customFormat="false" ht="15.75" hidden="false" customHeight="true" outlineLevel="0" collapsed="false"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customFormat="false" ht="15.75" hidden="false" customHeight="true" outlineLevel="0" collapsed="false"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customFormat="false" ht="15.75" hidden="false" customHeight="true" outlineLevel="0" collapsed="false"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customFormat="false" ht="15.75" hidden="false" customHeight="true" outlineLevel="0" collapsed="false"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customFormat="false" ht="15.75" hidden="false" customHeight="true" outlineLevel="0" collapsed="false"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customFormat="false" ht="15.75" hidden="false" customHeight="true" outlineLevel="0" collapsed="false"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customFormat="false" ht="15.75" hidden="false" customHeight="true" outlineLevel="0" collapsed="false"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customFormat="false" ht="15.75" hidden="false" customHeight="true" outlineLevel="0" collapsed="false"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customFormat="false" ht="15.75" hidden="false" customHeight="true" outlineLevel="0" collapsed="false"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customFormat="false" ht="15.75" hidden="false" customHeight="true" outlineLevel="0" collapsed="false"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customFormat="false" ht="15.75" hidden="false" customHeight="true" outlineLevel="0" collapsed="false"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customFormat="false" ht="15.75" hidden="false" customHeight="true" outlineLevel="0" collapsed="false"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customFormat="false" ht="15.75" hidden="false" customHeight="true" outlineLevel="0" collapsed="false"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customFormat="false" ht="15.75" hidden="false" customHeight="true" outlineLevel="0" collapsed="false"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customFormat="false" ht="15.75" hidden="false" customHeight="true" outlineLevel="0" collapsed="false"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customFormat="false" ht="15.75" hidden="false" customHeight="true" outlineLevel="0" collapsed="false"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customFormat="false" ht="15.75" hidden="false" customHeight="true" outlineLevel="0" collapsed="false"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customFormat="false" ht="15.75" hidden="false" customHeight="true" outlineLevel="0" collapsed="false"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customFormat="false" ht="15.75" hidden="false" customHeight="true" outlineLevel="0" collapsed="false"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customFormat="false" ht="15.75" hidden="false" customHeight="true" outlineLevel="0" collapsed="false"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customFormat="false" ht="15.75" hidden="false" customHeight="true" outlineLevel="0" collapsed="false"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customFormat="false" ht="15.75" hidden="false" customHeight="true" outlineLevel="0" collapsed="false"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customFormat="false" ht="15.75" hidden="false" customHeight="true" outlineLevel="0" collapsed="false"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customFormat="false" ht="15.75" hidden="false" customHeight="true" outlineLevel="0" collapsed="false"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customFormat="false" ht="15.75" hidden="false" customHeight="true" outlineLevel="0" collapsed="false"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customFormat="false" ht="15.75" hidden="false" customHeight="true" outlineLevel="0" collapsed="false"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customFormat="false" ht="15.75" hidden="false" customHeight="true" outlineLevel="0" collapsed="false"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customFormat="false" ht="15.75" hidden="false" customHeight="true" outlineLevel="0" collapsed="false"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customFormat="false" ht="15.75" hidden="false" customHeight="true" outlineLevel="0" collapsed="false"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customFormat="false" ht="15.75" hidden="false" customHeight="true" outlineLevel="0" collapsed="false"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customFormat="false" ht="15.75" hidden="false" customHeight="true" outlineLevel="0" collapsed="false"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customFormat="false" ht="15.75" hidden="false" customHeight="true" outlineLevel="0" collapsed="false"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customFormat="false" ht="15.75" hidden="false" customHeight="true" outlineLevel="0" collapsed="false"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customFormat="false" ht="15.75" hidden="false" customHeight="true" outlineLevel="0" collapsed="false"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customFormat="false" ht="15.75" hidden="false" customHeight="true" outlineLevel="0" collapsed="false"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customFormat="false" ht="15.75" hidden="false" customHeight="true" outlineLevel="0" collapsed="false"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customFormat="false" ht="15.75" hidden="false" customHeight="true" outlineLevel="0" collapsed="false"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customFormat="false" ht="15.75" hidden="false" customHeight="true" outlineLevel="0" collapsed="false"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customFormat="false" ht="15.75" hidden="false" customHeight="true" outlineLevel="0" collapsed="false"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customFormat="false" ht="15.75" hidden="false" customHeight="true" outlineLevel="0" collapsed="false"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customFormat="false" ht="15.75" hidden="false" customHeight="true" outlineLevel="0" collapsed="false"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customFormat="false" ht="15.75" hidden="false" customHeight="true" outlineLevel="0" collapsed="false"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customFormat="false" ht="15.75" hidden="false" customHeight="true" outlineLevel="0" collapsed="false"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customFormat="false" ht="15.75" hidden="false" customHeight="true" outlineLevel="0" collapsed="false"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customFormat="false" ht="15.75" hidden="false" customHeight="true" outlineLevel="0" collapsed="false"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customFormat="false" ht="15.75" hidden="false" customHeight="true" outlineLevel="0" collapsed="false"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customFormat="false" ht="15.75" hidden="false" customHeight="true" outlineLevel="0" collapsed="false"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customFormat="false" ht="15.75" hidden="false" customHeight="true" outlineLevel="0" collapsed="false"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customFormat="false" ht="15.75" hidden="false" customHeight="true" outlineLevel="0" collapsed="false"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customFormat="false" ht="15.75" hidden="false" customHeight="true" outlineLevel="0" collapsed="false"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customFormat="false" ht="15.75" hidden="false" customHeight="true" outlineLevel="0" collapsed="false"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customFormat="false" ht="15.75" hidden="false" customHeight="true" outlineLevel="0" collapsed="false"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customFormat="false" ht="15.75" hidden="false" customHeight="true" outlineLevel="0" collapsed="false"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customFormat="false" ht="15.75" hidden="false" customHeight="true" outlineLevel="0" collapsed="false"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customFormat="false" ht="15.75" hidden="false" customHeight="true" outlineLevel="0" collapsed="false"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customFormat="false" ht="15.75" hidden="false" customHeight="true" outlineLevel="0" collapsed="false"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customFormat="false" ht="15.75" hidden="false" customHeight="true" outlineLevel="0" collapsed="false"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customFormat="false" ht="15.75" hidden="false" customHeight="true" outlineLevel="0" collapsed="false"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customFormat="false" ht="15.75" hidden="false" customHeight="true" outlineLevel="0" collapsed="false"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customFormat="false" ht="15.75" hidden="false" customHeight="true" outlineLevel="0" collapsed="false"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customFormat="false" ht="15.75" hidden="false" customHeight="true" outlineLevel="0" collapsed="false"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customFormat="false" ht="15.75" hidden="false" customHeight="true" outlineLevel="0" collapsed="false"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customFormat="false" ht="15.75" hidden="false" customHeight="true" outlineLevel="0" collapsed="false"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customFormat="false" ht="15.75" hidden="false" customHeight="true" outlineLevel="0" collapsed="false"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customFormat="false" ht="15.75" hidden="false" customHeight="true" outlineLevel="0" collapsed="false"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customFormat="false" ht="15.75" hidden="false" customHeight="true" outlineLevel="0" collapsed="false"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customFormat="false" ht="15.75" hidden="false" customHeight="true" outlineLevel="0" collapsed="false"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customFormat="false" ht="15.75" hidden="false" customHeight="true" outlineLevel="0" collapsed="false"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customFormat="false" ht="15.75" hidden="false" customHeight="true" outlineLevel="0" collapsed="false"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customFormat="false" ht="15.75" hidden="false" customHeight="true" outlineLevel="0" collapsed="false"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customFormat="false" ht="15.75" hidden="false" customHeight="true" outlineLevel="0" collapsed="false"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customFormat="false" ht="15.75" hidden="false" customHeight="true" outlineLevel="0" collapsed="false"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customFormat="false" ht="15.75" hidden="false" customHeight="true" outlineLevel="0" collapsed="false"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customFormat="false" ht="15.75" hidden="false" customHeight="true" outlineLevel="0" collapsed="false"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customFormat="false" ht="15.75" hidden="false" customHeight="true" outlineLevel="0" collapsed="false"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customFormat="false" ht="15.75" hidden="false" customHeight="true" outlineLevel="0" collapsed="false"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customFormat="false" ht="15.75" hidden="false" customHeight="true" outlineLevel="0" collapsed="false"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customFormat="false" ht="15.75" hidden="false" customHeight="true" outlineLevel="0" collapsed="false"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customFormat="false" ht="15.75" hidden="false" customHeight="true" outlineLevel="0" collapsed="false"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customFormat="false" ht="15.75" hidden="false" customHeight="true" outlineLevel="0" collapsed="false"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customFormat="false" ht="15.75" hidden="false" customHeight="true" outlineLevel="0" collapsed="false"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customFormat="false" ht="15.75" hidden="false" customHeight="true" outlineLevel="0" collapsed="false"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customFormat="false" ht="15.75" hidden="false" customHeight="true" outlineLevel="0" collapsed="false"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customFormat="false" ht="15.75" hidden="false" customHeight="true" outlineLevel="0" collapsed="false"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customFormat="false" ht="15.75" hidden="false" customHeight="true" outlineLevel="0" collapsed="false"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customFormat="false" ht="15.75" hidden="false" customHeight="true" outlineLevel="0" collapsed="false"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customFormat="false" ht="15.75" hidden="false" customHeight="true" outlineLevel="0" collapsed="false"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customFormat="false" ht="15.75" hidden="false" customHeight="true" outlineLevel="0" collapsed="false"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customFormat="false" ht="15.75" hidden="false" customHeight="true" outlineLevel="0" collapsed="false"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customFormat="false" ht="15.75" hidden="false" customHeight="true" outlineLevel="0" collapsed="false"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customFormat="false" ht="15.75" hidden="false" customHeight="true" outlineLevel="0" collapsed="false"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customFormat="false" ht="15.75" hidden="false" customHeight="true" outlineLevel="0" collapsed="false"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customFormat="false" ht="15.75" hidden="false" customHeight="true" outlineLevel="0" collapsed="false"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customFormat="false" ht="15.75" hidden="false" customHeight="true" outlineLevel="0" collapsed="false"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customFormat="false" ht="15.75" hidden="false" customHeight="true" outlineLevel="0" collapsed="false"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customFormat="false" ht="15.75" hidden="false" customHeight="true" outlineLevel="0" collapsed="false"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customFormat="false" ht="15.75" hidden="false" customHeight="true" outlineLevel="0" collapsed="false"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customFormat="false" ht="15.75" hidden="false" customHeight="true" outlineLevel="0" collapsed="false"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customFormat="false" ht="15.75" hidden="false" customHeight="true" outlineLevel="0" collapsed="false"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customFormat="false" ht="15.75" hidden="false" customHeight="true" outlineLevel="0" collapsed="false"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customFormat="false" ht="15.75" hidden="false" customHeight="true" outlineLevel="0" collapsed="false"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customFormat="false" ht="15.75" hidden="false" customHeight="true" outlineLevel="0" collapsed="false"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customFormat="false" ht="15.75" hidden="false" customHeight="true" outlineLevel="0" collapsed="false"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customFormat="false" ht="15.75" hidden="false" customHeight="true" outlineLevel="0" collapsed="false"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customFormat="false" ht="15.75" hidden="false" customHeight="true" outlineLevel="0" collapsed="false"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customFormat="false" ht="15.75" hidden="false" customHeight="true" outlineLevel="0" collapsed="false"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customFormat="false" ht="15.75" hidden="false" customHeight="true" outlineLevel="0" collapsed="false"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customFormat="false" ht="15.75" hidden="false" customHeight="true" outlineLevel="0" collapsed="false"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customFormat="false" ht="15.75" hidden="false" customHeight="true" outlineLevel="0" collapsed="false"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customFormat="false" ht="15.75" hidden="false" customHeight="true" outlineLevel="0" collapsed="false"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customFormat="false" ht="15.75" hidden="false" customHeight="true" outlineLevel="0" collapsed="false"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customFormat="false" ht="15.75" hidden="false" customHeight="true" outlineLevel="0" collapsed="false"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customFormat="false" ht="15.75" hidden="false" customHeight="true" outlineLevel="0" collapsed="false"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customFormat="false" ht="15.75" hidden="false" customHeight="true" outlineLevel="0" collapsed="false"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customFormat="false" ht="15.75" hidden="false" customHeight="true" outlineLevel="0" collapsed="false"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customFormat="false" ht="15.75" hidden="false" customHeight="true" outlineLevel="0" collapsed="false"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customFormat="false" ht="15.75" hidden="false" customHeight="true" outlineLevel="0" collapsed="false"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customFormat="false" ht="15.75" hidden="false" customHeight="true" outlineLevel="0" collapsed="false"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customFormat="false" ht="15.75" hidden="false" customHeight="true" outlineLevel="0" collapsed="false"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customFormat="false" ht="15.75" hidden="false" customHeight="true" outlineLevel="0" collapsed="false"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customFormat="false" ht="15.75" hidden="false" customHeight="true" outlineLevel="0" collapsed="false"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customFormat="false" ht="15.75" hidden="false" customHeight="true" outlineLevel="0" collapsed="false"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customFormat="false" ht="15.75" hidden="false" customHeight="true" outlineLevel="0" collapsed="false"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customFormat="false" ht="15.75" hidden="false" customHeight="true" outlineLevel="0" collapsed="false"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customFormat="false" ht="15.75" hidden="false" customHeight="true" outlineLevel="0" collapsed="false"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customFormat="false" ht="15.75" hidden="false" customHeight="true" outlineLevel="0" collapsed="false"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customFormat="false" ht="15.75" hidden="false" customHeight="true" outlineLevel="0" collapsed="false"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customFormat="false" ht="15.75" hidden="false" customHeight="true" outlineLevel="0" collapsed="false"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customFormat="false" ht="15.75" hidden="false" customHeight="true" outlineLevel="0" collapsed="false"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customFormat="false" ht="15.75" hidden="false" customHeight="true" outlineLevel="0" collapsed="false"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customFormat="false" ht="15.75" hidden="false" customHeight="true" outlineLevel="0" collapsed="false"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customFormat="false" ht="15.75" hidden="false" customHeight="true" outlineLevel="0" collapsed="false"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customFormat="false" ht="15.75" hidden="false" customHeight="true" outlineLevel="0" collapsed="false"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customFormat="false" ht="15.75" hidden="false" customHeight="true" outlineLevel="0" collapsed="false"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customFormat="false" ht="15.75" hidden="false" customHeight="true" outlineLevel="0" collapsed="false"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customFormat="false" ht="15.75" hidden="false" customHeight="true" outlineLevel="0" collapsed="false"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customFormat="false" ht="15.75" hidden="false" customHeight="true" outlineLevel="0" collapsed="false"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customFormat="false" ht="15.75" hidden="false" customHeight="true" outlineLevel="0" collapsed="false"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customFormat="false" ht="15.75" hidden="false" customHeight="true" outlineLevel="0" collapsed="false"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customFormat="false" ht="15.75" hidden="false" customHeight="true" outlineLevel="0" collapsed="false"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customFormat="false" ht="15.75" hidden="false" customHeight="true" outlineLevel="0" collapsed="false"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customFormat="false" ht="15.75" hidden="false" customHeight="true" outlineLevel="0" collapsed="false"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customFormat="false" ht="15.75" hidden="false" customHeight="true" outlineLevel="0" collapsed="false"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customFormat="false" ht="15.75" hidden="false" customHeight="true" outlineLevel="0" collapsed="false"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customFormat="false" ht="15.75" hidden="false" customHeight="true" outlineLevel="0" collapsed="false"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customFormat="false" ht="15.75" hidden="false" customHeight="true" outlineLevel="0" collapsed="false"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customFormat="false" ht="15.75" hidden="false" customHeight="true" outlineLevel="0" collapsed="false"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customFormat="false" ht="15.75" hidden="false" customHeight="true" outlineLevel="0" collapsed="false"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customFormat="false" ht="15.75" hidden="false" customHeight="true" outlineLevel="0" collapsed="false"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customFormat="false" ht="15.75" hidden="false" customHeight="true" outlineLevel="0" collapsed="false"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customFormat="false" ht="15.75" hidden="false" customHeight="true" outlineLevel="0" collapsed="false"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customFormat="false" ht="15.75" hidden="false" customHeight="true" outlineLevel="0" collapsed="false"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customFormat="false" ht="15.75" hidden="false" customHeight="true" outlineLevel="0" collapsed="false"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customFormat="false" ht="15.75" hidden="false" customHeight="true" outlineLevel="0" collapsed="false"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customFormat="false" ht="15.75" hidden="false" customHeight="true" outlineLevel="0" collapsed="false"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customFormat="false" ht="15.75" hidden="false" customHeight="true" outlineLevel="0" collapsed="false"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customFormat="false" ht="15.75" hidden="false" customHeight="true" outlineLevel="0" collapsed="false"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customFormat="false" ht="15.75" hidden="false" customHeight="true" outlineLevel="0" collapsed="false"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customFormat="false" ht="15.75" hidden="false" customHeight="true" outlineLevel="0" collapsed="false"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customFormat="false" ht="15.75" hidden="false" customHeight="true" outlineLevel="0" collapsed="false"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customFormat="false" ht="15.75" hidden="false" customHeight="true" outlineLevel="0" collapsed="false"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customFormat="false" ht="15.75" hidden="false" customHeight="true" outlineLevel="0" collapsed="false"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customFormat="false" ht="15.75" hidden="false" customHeight="true" outlineLevel="0" collapsed="false"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customFormat="false" ht="15.75" hidden="false" customHeight="true" outlineLevel="0" collapsed="false"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customFormat="false" ht="15.75" hidden="false" customHeight="true" outlineLevel="0" collapsed="false"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customFormat="false" ht="15.75" hidden="false" customHeight="true" outlineLevel="0" collapsed="false"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customFormat="false" ht="15.75" hidden="false" customHeight="true" outlineLevel="0" collapsed="false"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customFormat="false" ht="15.75" hidden="false" customHeight="true" outlineLevel="0" collapsed="false"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customFormat="false" ht="15.75" hidden="false" customHeight="true" outlineLevel="0" collapsed="false"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customFormat="false" ht="15.75" hidden="false" customHeight="true" outlineLevel="0" collapsed="false"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customFormat="false" ht="15.75" hidden="false" customHeight="true" outlineLevel="0" collapsed="false"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customFormat="false" ht="15.75" hidden="false" customHeight="true" outlineLevel="0" collapsed="false"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customFormat="false" ht="15.75" hidden="false" customHeight="true" outlineLevel="0" collapsed="false"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customFormat="false" ht="15.75" hidden="false" customHeight="true" outlineLevel="0" collapsed="false"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customFormat="false" ht="15.75" hidden="false" customHeight="true" outlineLevel="0" collapsed="false"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customFormat="false" ht="15.75" hidden="false" customHeight="true" outlineLevel="0" collapsed="false"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customFormat="false" ht="15.75" hidden="false" customHeight="true" outlineLevel="0" collapsed="false"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customFormat="false" ht="15.75" hidden="false" customHeight="true" outlineLevel="0" collapsed="false"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customFormat="false" ht="15.75" hidden="false" customHeight="true" outlineLevel="0" collapsed="false"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customFormat="false" ht="15.75" hidden="false" customHeight="true" outlineLevel="0" collapsed="false"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customFormat="false" ht="15.75" hidden="false" customHeight="true" outlineLevel="0" collapsed="false"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customFormat="false" ht="15.75" hidden="false" customHeight="true" outlineLevel="0" collapsed="false"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customFormat="false" ht="15.75" hidden="false" customHeight="true" outlineLevel="0" collapsed="false"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customFormat="false" ht="15.75" hidden="false" customHeight="true" outlineLevel="0" collapsed="false"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customFormat="false" ht="15.75" hidden="false" customHeight="true" outlineLevel="0" collapsed="false"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customFormat="false" ht="15.75" hidden="false" customHeight="true" outlineLevel="0" collapsed="false"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customFormat="false" ht="15.75" hidden="false" customHeight="true" outlineLevel="0" collapsed="false"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customFormat="false" ht="15.75" hidden="false" customHeight="true" outlineLevel="0" collapsed="false"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customFormat="false" ht="15.75" hidden="false" customHeight="true" outlineLevel="0" collapsed="false"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customFormat="false" ht="15.75" hidden="false" customHeight="true" outlineLevel="0" collapsed="false"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customFormat="false" ht="15.75" hidden="false" customHeight="true" outlineLevel="0" collapsed="false"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customFormat="false" ht="15.75" hidden="false" customHeight="true" outlineLevel="0" collapsed="false"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customFormat="false" ht="15.75" hidden="false" customHeight="true" outlineLevel="0" collapsed="false"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customFormat="false" ht="15.75" hidden="false" customHeight="true" outlineLevel="0" collapsed="false"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customFormat="false" ht="15.75" hidden="false" customHeight="true" outlineLevel="0" collapsed="false"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customFormat="false" ht="15.75" hidden="false" customHeight="true" outlineLevel="0" collapsed="false"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customFormat="false" ht="15.75" hidden="false" customHeight="true" outlineLevel="0" collapsed="false"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customFormat="false" ht="15.75" hidden="false" customHeight="true" outlineLevel="0" collapsed="false"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customFormat="false" ht="15.75" hidden="false" customHeight="true" outlineLevel="0" collapsed="false"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customFormat="false" ht="15.75" hidden="false" customHeight="true" outlineLevel="0" collapsed="false"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customFormat="false" ht="15.75" hidden="false" customHeight="true" outlineLevel="0" collapsed="false"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customFormat="false" ht="15.75" hidden="false" customHeight="true" outlineLevel="0" collapsed="false"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customFormat="false" ht="15.75" hidden="false" customHeight="true" outlineLevel="0" collapsed="false"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5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8"/>
    <col collapsed="false" customWidth="true" hidden="false" outlineLevel="0" max="3" min="3" style="1" width="11"/>
    <col collapsed="false" customWidth="true" hidden="false" outlineLevel="0" max="4" min="4" style="1" width="7"/>
    <col collapsed="false" customWidth="true" hidden="false" outlineLevel="0" max="5" min="5" style="1" width="22"/>
    <col collapsed="false" customWidth="true" hidden="false" outlineLevel="0" max="6" min="6" style="1" width="28"/>
    <col collapsed="false" customWidth="true" hidden="false" outlineLevel="0" max="7" min="7" style="1" width="10"/>
    <col collapsed="false" customWidth="true" hidden="false" outlineLevel="0" max="8" min="8" style="1" width="46"/>
    <col collapsed="false" customWidth="true" hidden="false" outlineLevel="0" max="9" min="9" style="1" width="7"/>
    <col collapsed="false" customWidth="true" hidden="false" outlineLevel="0" max="10" min="10" style="1" width="12"/>
  </cols>
  <sheetData>
    <row r="1" customFormat="false" ht="15.75" hidden="false" customHeight="true" outlineLevel="0" collapsed="false">
      <c r="A1" s="34" t="s">
        <v>234</v>
      </c>
    </row>
    <row r="2" customFormat="false" ht="15" hidden="false" customHeight="true" outlineLevel="0" collapsed="false">
      <c r="A2" s="35" t="s">
        <v>235</v>
      </c>
    </row>
    <row r="4" customFormat="false" ht="15" hidden="false" customHeight="true" outlineLevel="0" collapsed="false">
      <c r="A4" s="36" t="s">
        <v>236</v>
      </c>
      <c r="B4" s="36" t="s">
        <v>237</v>
      </c>
      <c r="C4" s="36" t="s">
        <v>28</v>
      </c>
      <c r="D4" s="36" t="s">
        <v>238</v>
      </c>
      <c r="E4" s="36" t="s">
        <v>239</v>
      </c>
      <c r="F4" s="36" t="s">
        <v>240</v>
      </c>
      <c r="G4" s="36" t="s">
        <v>241</v>
      </c>
      <c r="H4" s="36" t="s">
        <v>242</v>
      </c>
      <c r="I4" s="36" t="s">
        <v>243</v>
      </c>
      <c r="J4" s="36" t="s">
        <v>244</v>
      </c>
    </row>
    <row r="5" customFormat="false" ht="15" hidden="false" customHeight="true" outlineLevel="0" collapsed="false">
      <c r="A5" s="37" t="s">
        <v>245</v>
      </c>
    </row>
    <row r="6" customFormat="false" ht="15" hidden="false" customHeight="true" outlineLevel="0" collapsed="false">
      <c r="A6" s="38" t="n">
        <v>1</v>
      </c>
      <c r="B6" s="38" t="s">
        <v>246</v>
      </c>
      <c r="C6" s="38" t="s">
        <v>49</v>
      </c>
      <c r="D6" s="38" t="s">
        <v>247</v>
      </c>
      <c r="E6" s="38" t="s">
        <v>159</v>
      </c>
      <c r="F6" s="38" t="s">
        <v>248</v>
      </c>
      <c r="G6" s="38" t="s">
        <v>249</v>
      </c>
      <c r="H6" s="38" t="s">
        <v>250</v>
      </c>
      <c r="I6" s="38"/>
      <c r="J6" s="39" t="n">
        <v>138</v>
      </c>
    </row>
    <row r="7" customFormat="false" ht="15" hidden="false" customHeight="true" outlineLevel="0" collapsed="false">
      <c r="A7" s="40"/>
      <c r="B7" s="40"/>
      <c r="C7" s="40"/>
      <c r="D7" s="40"/>
      <c r="E7" s="40"/>
      <c r="F7" s="40"/>
      <c r="G7" s="40"/>
      <c r="H7" s="41" t="s">
        <v>251</v>
      </c>
      <c r="I7" s="41" t="n">
        <v>2</v>
      </c>
      <c r="J7" s="42" t="n">
        <v>84</v>
      </c>
    </row>
    <row r="8" customFormat="false" ht="15" hidden="false" customHeight="true" outlineLevel="0" collapsed="false">
      <c r="A8" s="40"/>
      <c r="B8" s="40"/>
      <c r="C8" s="40"/>
      <c r="D8" s="40"/>
      <c r="E8" s="40"/>
      <c r="F8" s="40"/>
      <c r="G8" s="40"/>
      <c r="H8" s="41" t="s">
        <v>252</v>
      </c>
      <c r="I8" s="41" t="n">
        <v>2</v>
      </c>
      <c r="J8" s="42" t="n">
        <v>54</v>
      </c>
    </row>
    <row r="9" customFormat="false" ht="15" hidden="false" customHeight="true" outlineLevel="0" collapsed="false">
      <c r="A9" s="38" t="n">
        <v>1</v>
      </c>
      <c r="B9" s="38" t="s">
        <v>253</v>
      </c>
      <c r="C9" s="38" t="s">
        <v>49</v>
      </c>
      <c r="D9" s="38" t="s">
        <v>254</v>
      </c>
      <c r="E9" s="38" t="s">
        <v>159</v>
      </c>
      <c r="F9" s="38" t="s">
        <v>255</v>
      </c>
      <c r="G9" s="38" t="s">
        <v>256</v>
      </c>
      <c r="H9" s="38" t="s">
        <v>250</v>
      </c>
      <c r="I9" s="38"/>
      <c r="J9" s="39" t="n">
        <v>135.35</v>
      </c>
    </row>
    <row r="10" customFormat="false" ht="15" hidden="false" customHeight="true" outlineLevel="0" collapsed="false">
      <c r="A10" s="40"/>
      <c r="B10" s="40"/>
      <c r="C10" s="40"/>
      <c r="D10" s="40"/>
      <c r="E10" s="40"/>
      <c r="F10" s="40"/>
      <c r="G10" s="40"/>
      <c r="H10" s="41" t="s">
        <v>257</v>
      </c>
      <c r="I10" s="41" t="n">
        <v>1</v>
      </c>
      <c r="J10" s="42" t="n">
        <v>62.35</v>
      </c>
    </row>
    <row r="11" customFormat="false" ht="15" hidden="false" customHeight="true" outlineLevel="0" collapsed="false">
      <c r="A11" s="40"/>
      <c r="B11" s="40"/>
      <c r="C11" s="40"/>
      <c r="D11" s="40"/>
      <c r="E11" s="40"/>
      <c r="F11" s="40"/>
      <c r="G11" s="40"/>
      <c r="H11" s="41" t="s">
        <v>258</v>
      </c>
      <c r="I11" s="41" t="n">
        <v>1</v>
      </c>
      <c r="J11" s="42" t="n">
        <v>44</v>
      </c>
    </row>
    <row r="12" customFormat="false" ht="15" hidden="false" customHeight="true" outlineLevel="0" collapsed="false">
      <c r="A12" s="40"/>
      <c r="B12" s="40"/>
      <c r="C12" s="40"/>
      <c r="D12" s="40"/>
      <c r="E12" s="40"/>
      <c r="F12" s="40"/>
      <c r="G12" s="40"/>
      <c r="H12" s="41" t="s">
        <v>259</v>
      </c>
      <c r="I12" s="41" t="n">
        <v>1</v>
      </c>
      <c r="J12" s="42" t="n">
        <v>29</v>
      </c>
    </row>
    <row r="13" customFormat="false" ht="15" hidden="false" customHeight="true" outlineLevel="0" collapsed="false">
      <c r="A13" s="38" t="n">
        <v>1</v>
      </c>
      <c r="B13" s="38" t="s">
        <v>260</v>
      </c>
      <c r="C13" s="38" t="s">
        <v>49</v>
      </c>
      <c r="D13" s="38" t="s">
        <v>261</v>
      </c>
      <c r="E13" s="38" t="s">
        <v>159</v>
      </c>
      <c r="F13" s="38" t="s">
        <v>262</v>
      </c>
      <c r="G13" s="38" t="s">
        <v>256</v>
      </c>
      <c r="H13" s="38" t="s">
        <v>250</v>
      </c>
      <c r="I13" s="38"/>
      <c r="J13" s="39" t="n">
        <v>94</v>
      </c>
    </row>
    <row r="14" customFormat="false" ht="15" hidden="false" customHeight="true" outlineLevel="0" collapsed="false">
      <c r="A14" s="40"/>
      <c r="B14" s="40"/>
      <c r="C14" s="40"/>
      <c r="D14" s="40"/>
      <c r="E14" s="40"/>
      <c r="F14" s="40"/>
      <c r="G14" s="40"/>
      <c r="H14" s="41" t="s">
        <v>263</v>
      </c>
      <c r="I14" s="41" t="n">
        <v>1</v>
      </c>
      <c r="J14" s="42" t="n">
        <v>94</v>
      </c>
    </row>
    <row r="15" customFormat="false" ht="15" hidden="false" customHeight="true" outlineLevel="0" collapsed="false">
      <c r="A15" s="38" t="n">
        <v>1</v>
      </c>
      <c r="B15" s="38" t="s">
        <v>264</v>
      </c>
      <c r="C15" s="38" t="s">
        <v>265</v>
      </c>
      <c r="D15" s="38" t="s">
        <v>266</v>
      </c>
      <c r="E15" s="38" t="s">
        <v>159</v>
      </c>
      <c r="F15" s="38" t="s">
        <v>267</v>
      </c>
      <c r="G15" s="38" t="s">
        <v>256</v>
      </c>
      <c r="H15" s="38" t="s">
        <v>250</v>
      </c>
      <c r="I15" s="38"/>
      <c r="J15" s="39" t="n">
        <v>29</v>
      </c>
    </row>
    <row r="16" customFormat="false" ht="15" hidden="false" customHeight="true" outlineLevel="0" collapsed="false">
      <c r="A16" s="40"/>
      <c r="B16" s="40"/>
      <c r="C16" s="40"/>
      <c r="D16" s="40"/>
      <c r="E16" s="40"/>
      <c r="F16" s="40"/>
      <c r="G16" s="40"/>
      <c r="H16" s="41" t="s">
        <v>259</v>
      </c>
      <c r="I16" s="41" t="n">
        <v>1</v>
      </c>
      <c r="J16" s="42" t="n">
        <v>29</v>
      </c>
    </row>
    <row r="17" customFormat="false" ht="15" hidden="false" customHeight="true" outlineLevel="0" collapsed="false">
      <c r="A17" s="38" t="n">
        <v>1</v>
      </c>
      <c r="B17" s="38" t="s">
        <v>268</v>
      </c>
      <c r="C17" s="38" t="s">
        <v>269</v>
      </c>
      <c r="D17" s="38" t="s">
        <v>270</v>
      </c>
      <c r="E17" s="38" t="s">
        <v>271</v>
      </c>
      <c r="F17" s="38" t="s">
        <v>272</v>
      </c>
      <c r="G17" s="38" t="s">
        <v>249</v>
      </c>
      <c r="H17" s="38" t="s">
        <v>250</v>
      </c>
      <c r="I17" s="38"/>
      <c r="J17" s="39" t="n">
        <v>1331</v>
      </c>
    </row>
    <row r="18" customFormat="false" ht="15" hidden="false" customHeight="true" outlineLevel="0" collapsed="false">
      <c r="A18" s="40"/>
      <c r="B18" s="40"/>
      <c r="C18" s="40"/>
      <c r="D18" s="40"/>
      <c r="E18" s="40"/>
      <c r="F18" s="40"/>
      <c r="G18" s="40"/>
      <c r="H18" s="41" t="s">
        <v>273</v>
      </c>
      <c r="I18" s="41" t="n">
        <v>6</v>
      </c>
      <c r="J18" s="42" t="n">
        <v>660</v>
      </c>
    </row>
    <row r="19" customFormat="false" ht="15" hidden="false" customHeight="true" outlineLevel="0" collapsed="false">
      <c r="A19" s="40"/>
      <c r="B19" s="40"/>
      <c r="C19" s="40"/>
      <c r="D19" s="40"/>
      <c r="E19" s="40"/>
      <c r="F19" s="40"/>
      <c r="G19" s="40"/>
      <c r="H19" s="41" t="s">
        <v>274</v>
      </c>
      <c r="I19" s="41" t="n">
        <v>3</v>
      </c>
      <c r="J19" s="42" t="n">
        <v>210</v>
      </c>
    </row>
    <row r="20" customFormat="false" ht="15" hidden="false" customHeight="true" outlineLevel="0" collapsed="false">
      <c r="A20" s="40"/>
      <c r="B20" s="40"/>
      <c r="C20" s="40"/>
      <c r="D20" s="40"/>
      <c r="E20" s="40"/>
      <c r="F20" s="40"/>
      <c r="G20" s="40"/>
      <c r="H20" s="41" t="s">
        <v>275</v>
      </c>
      <c r="I20" s="41" t="n">
        <v>1</v>
      </c>
      <c r="J20" s="42" t="n">
        <v>350</v>
      </c>
    </row>
    <row r="21" customFormat="false" ht="15" hidden="false" customHeight="true" outlineLevel="0" collapsed="false">
      <c r="A21" s="40"/>
      <c r="B21" s="40"/>
      <c r="C21" s="40"/>
      <c r="D21" s="40"/>
      <c r="E21" s="40"/>
      <c r="F21" s="40"/>
      <c r="G21" s="40"/>
      <c r="H21" s="41" t="s">
        <v>276</v>
      </c>
      <c r="I21" s="41" t="n">
        <v>6</v>
      </c>
      <c r="J21" s="42" t="n">
        <v>111</v>
      </c>
    </row>
    <row r="22" customFormat="false" ht="15" hidden="false" customHeight="true" outlineLevel="0" collapsed="false">
      <c r="A22" s="38" t="n">
        <v>1</v>
      </c>
      <c r="B22" s="38" t="s">
        <v>277</v>
      </c>
      <c r="C22" s="38" t="s">
        <v>269</v>
      </c>
      <c r="D22" s="38" t="s">
        <v>278</v>
      </c>
      <c r="E22" s="38" t="s">
        <v>159</v>
      </c>
      <c r="F22" s="38" t="s">
        <v>279</v>
      </c>
      <c r="G22" s="38" t="s">
        <v>256</v>
      </c>
      <c r="H22" s="38" t="s">
        <v>250</v>
      </c>
      <c r="I22" s="38"/>
      <c r="J22" s="39" t="n">
        <v>29</v>
      </c>
    </row>
    <row r="23" customFormat="false" ht="15" hidden="false" customHeight="true" outlineLevel="0" collapsed="false">
      <c r="A23" s="40"/>
      <c r="B23" s="40"/>
      <c r="C23" s="40"/>
      <c r="D23" s="40"/>
      <c r="E23" s="40"/>
      <c r="F23" s="40"/>
      <c r="G23" s="40"/>
      <c r="H23" s="41" t="s">
        <v>259</v>
      </c>
      <c r="I23" s="41" t="n">
        <v>1</v>
      </c>
      <c r="J23" s="42" t="n">
        <v>29</v>
      </c>
    </row>
    <row r="24" customFormat="false" ht="15" hidden="false" customHeight="true" outlineLevel="0" collapsed="false">
      <c r="A24" s="38" t="n">
        <v>1</v>
      </c>
      <c r="B24" s="38" t="s">
        <v>280</v>
      </c>
      <c r="C24" s="38" t="s">
        <v>54</v>
      </c>
      <c r="D24" s="38" t="s">
        <v>281</v>
      </c>
      <c r="E24" s="38" t="s">
        <v>282</v>
      </c>
      <c r="F24" s="38" t="s">
        <v>283</v>
      </c>
      <c r="G24" s="38" t="s">
        <v>249</v>
      </c>
      <c r="H24" s="38" t="s">
        <v>250</v>
      </c>
      <c r="I24" s="38"/>
      <c r="J24" s="39" t="n">
        <v>277</v>
      </c>
    </row>
    <row r="25" customFormat="false" ht="15" hidden="false" customHeight="true" outlineLevel="0" collapsed="false">
      <c r="A25" s="40"/>
      <c r="B25" s="40"/>
      <c r="C25" s="40"/>
      <c r="D25" s="40"/>
      <c r="E25" s="40"/>
      <c r="F25" s="40"/>
      <c r="G25" s="40"/>
      <c r="H25" s="41" t="s">
        <v>284</v>
      </c>
      <c r="I25" s="41" t="n">
        <v>2</v>
      </c>
      <c r="J25" s="42" t="n">
        <v>25.86</v>
      </c>
    </row>
    <row r="26" customFormat="false" ht="15" hidden="false" customHeight="true" outlineLevel="0" collapsed="false">
      <c r="A26" s="40"/>
      <c r="B26" s="40"/>
      <c r="C26" s="40"/>
      <c r="D26" s="40"/>
      <c r="E26" s="40"/>
      <c r="F26" s="40"/>
      <c r="G26" s="40"/>
      <c r="H26" s="41" t="s">
        <v>285</v>
      </c>
      <c r="I26" s="41" t="n">
        <v>1</v>
      </c>
      <c r="J26" s="42" t="n">
        <v>3.45</v>
      </c>
    </row>
    <row r="27" customFormat="false" ht="15" hidden="false" customHeight="true" outlineLevel="0" collapsed="false">
      <c r="A27" s="40"/>
      <c r="B27" s="40"/>
      <c r="C27" s="40"/>
      <c r="D27" s="40"/>
      <c r="E27" s="40"/>
      <c r="F27" s="40"/>
      <c r="G27" s="40"/>
      <c r="H27" s="41" t="s">
        <v>286</v>
      </c>
      <c r="I27" s="41" t="n">
        <v>2</v>
      </c>
      <c r="J27" s="42" t="n">
        <v>13.79</v>
      </c>
    </row>
    <row r="28" customFormat="false" ht="15" hidden="false" customHeight="true" outlineLevel="0" collapsed="false">
      <c r="A28" s="40"/>
      <c r="B28" s="40"/>
      <c r="C28" s="40"/>
      <c r="D28" s="40"/>
      <c r="E28" s="40"/>
      <c r="F28" s="40"/>
      <c r="G28" s="40"/>
      <c r="H28" s="41" t="s">
        <v>287</v>
      </c>
      <c r="I28" s="41" t="n">
        <v>1</v>
      </c>
      <c r="J28" s="42" t="n">
        <v>195.69</v>
      </c>
    </row>
    <row r="29" customFormat="false" ht="15" hidden="false" customHeight="true" outlineLevel="0" collapsed="false">
      <c r="A29" s="40"/>
      <c r="B29" s="40"/>
      <c r="C29" s="40"/>
      <c r="D29" s="40"/>
      <c r="E29" s="40"/>
      <c r="F29" s="40"/>
      <c r="G29" s="40"/>
      <c r="H29" s="41" t="s">
        <v>288</v>
      </c>
      <c r="I29" s="41"/>
      <c r="J29" s="42" t="n">
        <v>38.21</v>
      </c>
    </row>
    <row r="30" customFormat="false" ht="15" hidden="false" customHeight="true" outlineLevel="0" collapsed="false">
      <c r="A30" s="38" t="n">
        <v>1</v>
      </c>
      <c r="B30" s="38" t="s">
        <v>289</v>
      </c>
      <c r="C30" s="38" t="s">
        <v>54</v>
      </c>
      <c r="D30" s="38" t="s">
        <v>290</v>
      </c>
      <c r="E30" s="38" t="s">
        <v>159</v>
      </c>
      <c r="F30" s="38" t="s">
        <v>291</v>
      </c>
      <c r="G30" s="38" t="s">
        <v>256</v>
      </c>
      <c r="H30" s="38" t="s">
        <v>250</v>
      </c>
      <c r="I30" s="38"/>
      <c r="J30" s="39" t="n">
        <v>144</v>
      </c>
    </row>
    <row r="31" customFormat="false" ht="15" hidden="false" customHeight="true" outlineLevel="0" collapsed="false">
      <c r="A31" s="40"/>
      <c r="B31" s="40"/>
      <c r="C31" s="40"/>
      <c r="D31" s="40"/>
      <c r="E31" s="40"/>
      <c r="F31" s="40"/>
      <c r="G31" s="40"/>
      <c r="H31" s="41" t="s">
        <v>292</v>
      </c>
      <c r="I31" s="41" t="n">
        <v>1</v>
      </c>
      <c r="J31" s="42" t="n">
        <v>144</v>
      </c>
    </row>
    <row r="32" customFormat="false" ht="15" hidden="false" customHeight="true" outlineLevel="0" collapsed="false">
      <c r="A32" s="38" t="n">
        <v>1</v>
      </c>
      <c r="B32" s="38" t="s">
        <v>293</v>
      </c>
      <c r="C32" s="38" t="s">
        <v>57</v>
      </c>
      <c r="D32" s="38" t="s">
        <v>294</v>
      </c>
      <c r="E32" s="38" t="s">
        <v>159</v>
      </c>
      <c r="F32" s="38" t="s">
        <v>295</v>
      </c>
      <c r="G32" s="38" t="s">
        <v>256</v>
      </c>
      <c r="H32" s="38" t="s">
        <v>250</v>
      </c>
      <c r="I32" s="38"/>
      <c r="J32" s="39" t="n">
        <v>321</v>
      </c>
    </row>
    <row r="33" customFormat="false" ht="15" hidden="false" customHeight="true" outlineLevel="0" collapsed="false">
      <c r="A33" s="40"/>
      <c r="B33" s="40"/>
      <c r="C33" s="40"/>
      <c r="D33" s="40"/>
      <c r="E33" s="40"/>
      <c r="F33" s="40"/>
      <c r="G33" s="40"/>
      <c r="H33" s="41" t="s">
        <v>296</v>
      </c>
      <c r="I33" s="41" t="n">
        <v>2</v>
      </c>
      <c r="J33" s="42" t="n">
        <v>258</v>
      </c>
    </row>
    <row r="34" customFormat="false" ht="15" hidden="false" customHeight="true" outlineLevel="0" collapsed="false">
      <c r="A34" s="40"/>
      <c r="B34" s="40"/>
      <c r="C34" s="40"/>
      <c r="D34" s="40"/>
      <c r="E34" s="40"/>
      <c r="F34" s="40"/>
      <c r="G34" s="40"/>
      <c r="H34" s="41" t="s">
        <v>297</v>
      </c>
      <c r="I34" s="41" t="n">
        <v>3</v>
      </c>
      <c r="J34" s="42" t="n">
        <v>63</v>
      </c>
    </row>
    <row r="35" customFormat="false" ht="15" hidden="false" customHeight="true" outlineLevel="0" collapsed="false">
      <c r="A35" s="38" t="n">
        <v>1</v>
      </c>
      <c r="B35" s="38" t="s">
        <v>298</v>
      </c>
      <c r="C35" s="38" t="s">
        <v>60</v>
      </c>
      <c r="D35" s="38" t="s">
        <v>299</v>
      </c>
      <c r="E35" s="38" t="s">
        <v>159</v>
      </c>
      <c r="F35" s="38" t="s">
        <v>300</v>
      </c>
      <c r="G35" s="38" t="s">
        <v>256</v>
      </c>
      <c r="H35" s="38" t="s">
        <v>250</v>
      </c>
      <c r="I35" s="38"/>
      <c r="J35" s="39" t="n">
        <v>179</v>
      </c>
    </row>
    <row r="36" customFormat="false" ht="15" hidden="false" customHeight="true" outlineLevel="0" collapsed="false">
      <c r="A36" s="40"/>
      <c r="B36" s="40"/>
      <c r="C36" s="40"/>
      <c r="D36" s="40"/>
      <c r="E36" s="40"/>
      <c r="F36" s="40"/>
      <c r="G36" s="40"/>
      <c r="H36" s="41" t="s">
        <v>301</v>
      </c>
      <c r="I36" s="41" t="n">
        <v>1</v>
      </c>
      <c r="J36" s="42" t="n">
        <v>179</v>
      </c>
    </row>
    <row r="37" customFormat="false" ht="15" hidden="false" customHeight="true" outlineLevel="0" collapsed="false">
      <c r="A37" s="38" t="n">
        <v>1</v>
      </c>
      <c r="B37" s="38" t="s">
        <v>302</v>
      </c>
      <c r="C37" s="38" t="s">
        <v>60</v>
      </c>
      <c r="D37" s="38" t="s">
        <v>303</v>
      </c>
      <c r="E37" s="38" t="s">
        <v>159</v>
      </c>
      <c r="F37" s="38" t="s">
        <v>304</v>
      </c>
      <c r="G37" s="38" t="s">
        <v>256</v>
      </c>
      <c r="H37" s="38" t="s">
        <v>250</v>
      </c>
      <c r="I37" s="38"/>
      <c r="J37" s="39" t="n">
        <v>78</v>
      </c>
    </row>
    <row r="38" customFormat="false" ht="15" hidden="false" customHeight="true" outlineLevel="0" collapsed="false">
      <c r="A38" s="40"/>
      <c r="B38" s="40"/>
      <c r="C38" s="40"/>
      <c r="D38" s="40"/>
      <c r="E38" s="40"/>
      <c r="F38" s="40"/>
      <c r="G38" s="40"/>
      <c r="H38" s="41" t="s">
        <v>305</v>
      </c>
      <c r="I38" s="41" t="n">
        <v>1</v>
      </c>
      <c r="J38" s="42" t="n">
        <v>78</v>
      </c>
    </row>
    <row r="39" customFormat="false" ht="15" hidden="false" customHeight="true" outlineLevel="0" collapsed="false">
      <c r="A39" s="38" t="n">
        <v>1</v>
      </c>
      <c r="B39" s="38" t="s">
        <v>306</v>
      </c>
      <c r="C39" s="38" t="s">
        <v>63</v>
      </c>
      <c r="D39" s="38" t="s">
        <v>307</v>
      </c>
      <c r="E39" s="38" t="s">
        <v>159</v>
      </c>
      <c r="F39" s="38" t="s">
        <v>308</v>
      </c>
      <c r="G39" s="38" t="s">
        <v>256</v>
      </c>
      <c r="H39" s="38" t="s">
        <v>250</v>
      </c>
      <c r="I39" s="38"/>
      <c r="J39" s="39" t="n">
        <v>142</v>
      </c>
    </row>
    <row r="40" customFormat="false" ht="15" hidden="false" customHeight="true" outlineLevel="0" collapsed="false">
      <c r="A40" s="40"/>
      <c r="B40" s="40"/>
      <c r="C40" s="40"/>
      <c r="D40" s="40"/>
      <c r="E40" s="40"/>
      <c r="F40" s="40"/>
      <c r="G40" s="40"/>
      <c r="H40" s="41" t="s">
        <v>309</v>
      </c>
      <c r="I40" s="41" t="n">
        <v>1</v>
      </c>
      <c r="J40" s="42" t="n">
        <v>110</v>
      </c>
    </row>
    <row r="41" customFormat="false" ht="15" hidden="false" customHeight="true" outlineLevel="0" collapsed="false">
      <c r="A41" s="40"/>
      <c r="B41" s="40"/>
      <c r="C41" s="40"/>
      <c r="D41" s="40"/>
      <c r="E41" s="40"/>
      <c r="F41" s="40"/>
      <c r="G41" s="40"/>
      <c r="H41" s="41" t="s">
        <v>310</v>
      </c>
      <c r="I41" s="41" t="n">
        <v>1</v>
      </c>
      <c r="J41" s="42" t="n">
        <v>62</v>
      </c>
    </row>
    <row r="42" customFormat="false" ht="15" hidden="false" customHeight="true" outlineLevel="0" collapsed="false">
      <c r="A42" s="40"/>
      <c r="B42" s="40"/>
      <c r="C42" s="40"/>
      <c r="D42" s="40"/>
      <c r="E42" s="40"/>
      <c r="F42" s="40"/>
      <c r="G42" s="40"/>
      <c r="H42" s="41" t="s">
        <v>311</v>
      </c>
      <c r="I42" s="41"/>
      <c r="J42" s="42" t="n">
        <v>-30</v>
      </c>
    </row>
    <row r="43" customFormat="false" ht="15" hidden="false" customHeight="true" outlineLevel="0" collapsed="false">
      <c r="A43" s="38" t="n">
        <v>1</v>
      </c>
      <c r="B43" s="38" t="s">
        <v>312</v>
      </c>
      <c r="C43" s="38" t="s">
        <v>69</v>
      </c>
      <c r="D43" s="38" t="s">
        <v>313</v>
      </c>
      <c r="E43" s="38" t="s">
        <v>159</v>
      </c>
      <c r="F43" s="38" t="s">
        <v>314</v>
      </c>
      <c r="G43" s="38" t="s">
        <v>249</v>
      </c>
      <c r="H43" s="38" t="s">
        <v>250</v>
      </c>
      <c r="I43" s="38"/>
      <c r="J43" s="39" t="n">
        <v>408.14</v>
      </c>
    </row>
    <row r="44" customFormat="false" ht="15" hidden="false" customHeight="true" outlineLevel="0" collapsed="false">
      <c r="A44" s="40"/>
      <c r="B44" s="40"/>
      <c r="C44" s="40"/>
      <c r="D44" s="40"/>
      <c r="E44" s="40"/>
      <c r="F44" s="40"/>
      <c r="G44" s="40"/>
      <c r="H44" s="41" t="s">
        <v>315</v>
      </c>
      <c r="I44" s="41" t="n">
        <v>1</v>
      </c>
      <c r="J44" s="42" t="n">
        <v>51.9</v>
      </c>
    </row>
    <row r="45" customFormat="false" ht="15" hidden="false" customHeight="true" outlineLevel="0" collapsed="false">
      <c r="A45" s="40"/>
      <c r="B45" s="40"/>
      <c r="C45" s="40"/>
      <c r="D45" s="40"/>
      <c r="E45" s="40"/>
      <c r="F45" s="40"/>
      <c r="G45" s="40"/>
      <c r="H45" s="41" t="s">
        <v>316</v>
      </c>
      <c r="I45" s="41" t="n">
        <v>1</v>
      </c>
      <c r="J45" s="42" t="n">
        <v>51.9</v>
      </c>
    </row>
    <row r="46" customFormat="false" ht="15" hidden="false" customHeight="true" outlineLevel="0" collapsed="false">
      <c r="A46" s="40"/>
      <c r="B46" s="40"/>
      <c r="C46" s="40"/>
      <c r="D46" s="40"/>
      <c r="E46" s="40"/>
      <c r="F46" s="40"/>
      <c r="G46" s="40"/>
      <c r="H46" s="41" t="s">
        <v>317</v>
      </c>
      <c r="I46" s="41" t="n">
        <v>1</v>
      </c>
      <c r="J46" s="42" t="n">
        <v>150</v>
      </c>
    </row>
    <row r="47" customFormat="false" ht="15" hidden="false" customHeight="true" outlineLevel="0" collapsed="false">
      <c r="A47" s="40"/>
      <c r="B47" s="40"/>
      <c r="C47" s="40"/>
      <c r="D47" s="40"/>
      <c r="E47" s="40"/>
      <c r="F47" s="40"/>
      <c r="G47" s="40"/>
      <c r="H47" s="41" t="s">
        <v>318</v>
      </c>
      <c r="I47" s="41" t="n">
        <v>3</v>
      </c>
      <c r="J47" s="42" t="n">
        <v>56.49</v>
      </c>
    </row>
    <row r="48" customFormat="false" ht="15" hidden="false" customHeight="true" outlineLevel="0" collapsed="false">
      <c r="A48" s="40"/>
      <c r="B48" s="40"/>
      <c r="C48" s="40"/>
      <c r="D48" s="40"/>
      <c r="E48" s="40"/>
      <c r="F48" s="40"/>
      <c r="G48" s="40"/>
      <c r="H48" s="41" t="s">
        <v>319</v>
      </c>
      <c r="I48" s="41" t="n">
        <v>1</v>
      </c>
      <c r="J48" s="42" t="n">
        <v>86</v>
      </c>
    </row>
    <row r="49" customFormat="false" ht="15" hidden="false" customHeight="true" outlineLevel="0" collapsed="false">
      <c r="A49" s="40"/>
      <c r="B49" s="40"/>
      <c r="C49" s="40"/>
      <c r="D49" s="40"/>
      <c r="E49" s="40"/>
      <c r="F49" s="40"/>
      <c r="G49" s="40"/>
      <c r="H49" s="41" t="s">
        <v>320</v>
      </c>
      <c r="I49" s="41" t="n">
        <v>1</v>
      </c>
      <c r="J49" s="42" t="n">
        <v>11.85</v>
      </c>
    </row>
    <row r="50" customFormat="false" ht="15" hidden="false" customHeight="true" outlineLevel="0" collapsed="false">
      <c r="A50" s="38" t="n">
        <v>1</v>
      </c>
      <c r="B50" s="38" t="s">
        <v>321</v>
      </c>
      <c r="C50" s="38" t="s">
        <v>322</v>
      </c>
      <c r="D50" s="38" t="s">
        <v>323</v>
      </c>
      <c r="E50" s="38" t="s">
        <v>159</v>
      </c>
      <c r="F50" s="38" t="s">
        <v>324</v>
      </c>
      <c r="G50" s="38" t="s">
        <v>256</v>
      </c>
      <c r="H50" s="38" t="s">
        <v>250</v>
      </c>
      <c r="I50" s="38"/>
      <c r="J50" s="39" t="n">
        <v>44</v>
      </c>
    </row>
    <row r="51" customFormat="false" ht="15" hidden="false" customHeight="true" outlineLevel="0" collapsed="false">
      <c r="A51" s="40"/>
      <c r="B51" s="40"/>
      <c r="C51" s="40"/>
      <c r="D51" s="40"/>
      <c r="E51" s="40"/>
      <c r="F51" s="40"/>
      <c r="G51" s="40"/>
      <c r="H51" s="41" t="s">
        <v>258</v>
      </c>
      <c r="I51" s="41" t="n">
        <v>1</v>
      </c>
      <c r="J51" s="42" t="n">
        <v>44</v>
      </c>
    </row>
    <row r="52" customFormat="false" ht="15" hidden="false" customHeight="true" outlineLevel="0" collapsed="false">
      <c r="A52" s="38" t="n">
        <v>1</v>
      </c>
      <c r="B52" s="38" t="s">
        <v>325</v>
      </c>
      <c r="C52" s="38" t="s">
        <v>326</v>
      </c>
      <c r="D52" s="38" t="s">
        <v>327</v>
      </c>
      <c r="E52" s="38" t="s">
        <v>159</v>
      </c>
      <c r="F52" s="38" t="s">
        <v>328</v>
      </c>
      <c r="G52" s="38" t="s">
        <v>256</v>
      </c>
      <c r="H52" s="38" t="s">
        <v>250</v>
      </c>
      <c r="I52" s="38"/>
      <c r="J52" s="39" t="n">
        <v>24</v>
      </c>
    </row>
    <row r="53" customFormat="false" ht="15" hidden="false" customHeight="true" outlineLevel="0" collapsed="false">
      <c r="A53" s="40"/>
      <c r="B53" s="40"/>
      <c r="C53" s="40"/>
      <c r="D53" s="40"/>
      <c r="E53" s="40"/>
      <c r="F53" s="40"/>
      <c r="G53" s="40"/>
      <c r="H53" s="41" t="s">
        <v>329</v>
      </c>
      <c r="I53" s="41" t="n">
        <v>1</v>
      </c>
      <c r="J53" s="42" t="n">
        <v>24</v>
      </c>
    </row>
    <row r="54" customFormat="false" ht="15" hidden="false" customHeight="true" outlineLevel="0" collapsed="false">
      <c r="A54" s="38" t="n">
        <v>1</v>
      </c>
      <c r="B54" s="38" t="s">
        <v>330</v>
      </c>
      <c r="C54" s="38" t="s">
        <v>331</v>
      </c>
      <c r="D54" s="38"/>
      <c r="E54" s="38" t="s">
        <v>332</v>
      </c>
      <c r="F54" s="38" t="s">
        <v>333</v>
      </c>
      <c r="G54" s="38" t="s">
        <v>256</v>
      </c>
      <c r="H54" s="38" t="s">
        <v>334</v>
      </c>
      <c r="I54" s="38"/>
      <c r="J54" s="39" t="n">
        <v>2688</v>
      </c>
    </row>
    <row r="55" customFormat="false" ht="15" hidden="false" customHeight="true" outlineLevel="0" collapsed="false">
      <c r="A55" s="40"/>
      <c r="B55" s="40"/>
      <c r="C55" s="40"/>
      <c r="D55" s="40"/>
      <c r="E55" s="40"/>
      <c r="F55" s="40"/>
      <c r="G55" s="40"/>
      <c r="H55" s="41" t="s">
        <v>335</v>
      </c>
      <c r="I55" s="41" t="n">
        <v>1</v>
      </c>
      <c r="J55" s="42" t="n">
        <v>46</v>
      </c>
    </row>
    <row r="56" customFormat="false" ht="15" hidden="false" customHeight="true" outlineLevel="0" collapsed="false">
      <c r="A56" s="40"/>
      <c r="B56" s="40"/>
      <c r="C56" s="40"/>
      <c r="D56" s="40"/>
      <c r="E56" s="40"/>
      <c r="F56" s="40"/>
      <c r="G56" s="40"/>
      <c r="H56" s="41" t="s">
        <v>336</v>
      </c>
      <c r="I56" s="41" t="n">
        <v>1</v>
      </c>
      <c r="J56" s="42" t="n">
        <v>34</v>
      </c>
    </row>
    <row r="57" customFormat="false" ht="15" hidden="false" customHeight="true" outlineLevel="0" collapsed="false">
      <c r="A57" s="40"/>
      <c r="B57" s="40"/>
      <c r="C57" s="40"/>
      <c r="D57" s="40"/>
      <c r="E57" s="40"/>
      <c r="F57" s="40"/>
      <c r="G57" s="40"/>
      <c r="H57" s="41" t="s">
        <v>337</v>
      </c>
      <c r="I57" s="41" t="n">
        <v>1</v>
      </c>
      <c r="J57" s="42" t="n">
        <v>109</v>
      </c>
    </row>
    <row r="58" customFormat="false" ht="15" hidden="false" customHeight="true" outlineLevel="0" collapsed="false">
      <c r="A58" s="40"/>
      <c r="B58" s="40"/>
      <c r="C58" s="40"/>
      <c r="D58" s="40"/>
      <c r="E58" s="40"/>
      <c r="F58" s="40"/>
      <c r="G58" s="40"/>
      <c r="H58" s="41" t="s">
        <v>338</v>
      </c>
      <c r="I58" s="41" t="n">
        <v>1</v>
      </c>
      <c r="J58" s="42" t="n">
        <v>1239</v>
      </c>
    </row>
    <row r="59" customFormat="false" ht="15" hidden="false" customHeight="true" outlineLevel="0" collapsed="false">
      <c r="A59" s="40"/>
      <c r="B59" s="40"/>
      <c r="C59" s="40"/>
      <c r="D59" s="40"/>
      <c r="E59" s="40"/>
      <c r="F59" s="40"/>
      <c r="G59" s="40"/>
      <c r="H59" s="41" t="s">
        <v>339</v>
      </c>
      <c r="I59" s="41"/>
      <c r="J59" s="42" t="n">
        <v>-290</v>
      </c>
    </row>
    <row r="60" customFormat="false" ht="15" hidden="false" customHeight="true" outlineLevel="0" collapsed="false">
      <c r="A60" s="40"/>
      <c r="B60" s="40"/>
      <c r="C60" s="40"/>
      <c r="D60" s="40"/>
      <c r="E60" s="40"/>
      <c r="F60" s="40"/>
      <c r="G60" s="40"/>
      <c r="H60" s="41" t="s">
        <v>340</v>
      </c>
      <c r="I60" s="41" t="n">
        <v>40</v>
      </c>
      <c r="J60" s="42" t="n">
        <v>1420</v>
      </c>
    </row>
    <row r="61" customFormat="false" ht="15" hidden="false" customHeight="true" outlineLevel="0" collapsed="false">
      <c r="A61" s="40"/>
      <c r="B61" s="40"/>
      <c r="C61" s="40"/>
      <c r="D61" s="40"/>
      <c r="E61" s="40"/>
      <c r="F61" s="40"/>
      <c r="G61" s="40"/>
      <c r="H61" s="41" t="s">
        <v>341</v>
      </c>
      <c r="I61" s="41" t="n">
        <v>1</v>
      </c>
      <c r="J61" s="42" t="n">
        <v>85</v>
      </c>
    </row>
    <row r="62" customFormat="false" ht="15" hidden="false" customHeight="true" outlineLevel="0" collapsed="false">
      <c r="A62" s="40"/>
      <c r="B62" s="40"/>
      <c r="C62" s="40"/>
      <c r="D62" s="40"/>
      <c r="E62" s="40"/>
      <c r="F62" s="40"/>
      <c r="G62" s="40"/>
      <c r="H62" s="41" t="s">
        <v>342</v>
      </c>
      <c r="I62" s="41" t="n">
        <v>1</v>
      </c>
      <c r="J62" s="42" t="n">
        <v>45</v>
      </c>
    </row>
    <row r="63" customFormat="false" ht="15" hidden="false" customHeight="true" outlineLevel="0" collapsed="false">
      <c r="A63" s="38" t="n">
        <v>1</v>
      </c>
      <c r="B63" s="38" t="s">
        <v>343</v>
      </c>
      <c r="C63" s="38" t="s">
        <v>331</v>
      </c>
      <c r="D63" s="38"/>
      <c r="E63" s="38" t="s">
        <v>332</v>
      </c>
      <c r="F63" s="38" t="s">
        <v>344</v>
      </c>
      <c r="G63" s="38" t="s">
        <v>249</v>
      </c>
      <c r="H63" s="38" t="s">
        <v>334</v>
      </c>
      <c r="I63" s="38"/>
      <c r="J63" s="39" t="n">
        <v>780</v>
      </c>
    </row>
    <row r="64" customFormat="false" ht="15" hidden="false" customHeight="true" outlineLevel="0" collapsed="false">
      <c r="A64" s="40"/>
      <c r="B64" s="40"/>
      <c r="C64" s="40"/>
      <c r="D64" s="40"/>
      <c r="E64" s="40"/>
      <c r="F64" s="40"/>
      <c r="G64" s="40"/>
      <c r="H64" s="41" t="s">
        <v>345</v>
      </c>
      <c r="I64" s="41" t="n">
        <v>4</v>
      </c>
      <c r="J64" s="42" t="n">
        <v>692</v>
      </c>
    </row>
    <row r="65" customFormat="false" ht="15" hidden="false" customHeight="true" outlineLevel="0" collapsed="false">
      <c r="A65" s="40"/>
      <c r="B65" s="40"/>
      <c r="C65" s="40"/>
      <c r="D65" s="40"/>
      <c r="E65" s="40"/>
      <c r="F65" s="40"/>
      <c r="G65" s="40"/>
      <c r="H65" s="41" t="s">
        <v>346</v>
      </c>
      <c r="I65" s="41" t="n">
        <v>4</v>
      </c>
      <c r="J65" s="42" t="n">
        <v>88</v>
      </c>
    </row>
    <row r="66" customFormat="false" ht="15" hidden="false" customHeight="true" outlineLevel="0" collapsed="false">
      <c r="A66" s="38" t="n">
        <v>1</v>
      </c>
      <c r="B66" s="38" t="s">
        <v>347</v>
      </c>
      <c r="C66" s="38" t="s">
        <v>331</v>
      </c>
      <c r="D66" s="38"/>
      <c r="E66" s="38" t="s">
        <v>348</v>
      </c>
      <c r="F66" s="38" t="s">
        <v>349</v>
      </c>
      <c r="G66" s="38" t="s">
        <v>256</v>
      </c>
      <c r="H66" s="38" t="s">
        <v>334</v>
      </c>
      <c r="I66" s="38"/>
      <c r="J66" s="39" t="n">
        <v>138</v>
      </c>
    </row>
    <row r="67" customFormat="false" ht="15" hidden="false" customHeight="true" outlineLevel="0" collapsed="false">
      <c r="A67" s="40"/>
      <c r="B67" s="40"/>
      <c r="C67" s="40"/>
      <c r="D67" s="40"/>
      <c r="E67" s="40"/>
      <c r="F67" s="40"/>
      <c r="G67" s="40"/>
      <c r="H67" s="41" t="s">
        <v>335</v>
      </c>
      <c r="I67" s="41" t="n">
        <v>3</v>
      </c>
      <c r="J67" s="42" t="n">
        <v>138</v>
      </c>
    </row>
    <row r="68" customFormat="false" ht="15" hidden="false" customHeight="true" outlineLevel="0" collapsed="false">
      <c r="A68" s="38" t="n">
        <v>1</v>
      </c>
      <c r="B68" s="38" t="s">
        <v>350</v>
      </c>
      <c r="C68" s="38" t="s">
        <v>331</v>
      </c>
      <c r="D68" s="38"/>
      <c r="E68" s="38" t="s">
        <v>348</v>
      </c>
      <c r="F68" s="38" t="s">
        <v>351</v>
      </c>
      <c r="G68" s="38" t="s">
        <v>256</v>
      </c>
      <c r="H68" s="38" t="s">
        <v>334</v>
      </c>
      <c r="I68" s="38"/>
      <c r="J68" s="39" t="n">
        <v>188</v>
      </c>
    </row>
    <row r="69" customFormat="false" ht="15" hidden="false" customHeight="true" outlineLevel="0" collapsed="false">
      <c r="A69" s="40"/>
      <c r="B69" s="40"/>
      <c r="C69" s="40"/>
      <c r="D69" s="40"/>
      <c r="E69" s="40"/>
      <c r="F69" s="40"/>
      <c r="G69" s="40"/>
      <c r="H69" s="41" t="s">
        <v>352</v>
      </c>
      <c r="I69" s="41" t="n">
        <v>4</v>
      </c>
      <c r="J69" s="42" t="n">
        <v>68</v>
      </c>
    </row>
    <row r="70" customFormat="false" ht="15" hidden="false" customHeight="true" outlineLevel="0" collapsed="false">
      <c r="A70" s="40"/>
      <c r="B70" s="40"/>
      <c r="C70" s="40"/>
      <c r="D70" s="40"/>
      <c r="E70" s="40"/>
      <c r="F70" s="40"/>
      <c r="G70" s="40"/>
      <c r="H70" s="41" t="s">
        <v>353</v>
      </c>
      <c r="I70" s="41" t="n">
        <v>1</v>
      </c>
      <c r="J70" s="42" t="n">
        <v>59</v>
      </c>
    </row>
    <row r="71" customFormat="false" ht="15" hidden="false" customHeight="true" outlineLevel="0" collapsed="false">
      <c r="A71" s="40"/>
      <c r="B71" s="40"/>
      <c r="C71" s="40"/>
      <c r="D71" s="40"/>
      <c r="E71" s="40"/>
      <c r="F71" s="40"/>
      <c r="G71" s="40"/>
      <c r="H71" s="41" t="s">
        <v>354</v>
      </c>
      <c r="I71" s="41"/>
      <c r="J71" s="42" t="n">
        <v>-49</v>
      </c>
    </row>
    <row r="72" customFormat="false" ht="15" hidden="false" customHeight="true" outlineLevel="0" collapsed="false">
      <c r="A72" s="40"/>
      <c r="B72" s="40"/>
      <c r="C72" s="40"/>
      <c r="D72" s="40"/>
      <c r="E72" s="40"/>
      <c r="F72" s="40"/>
      <c r="G72" s="40"/>
      <c r="H72" s="41" t="s">
        <v>346</v>
      </c>
      <c r="I72" s="41" t="n">
        <v>5</v>
      </c>
      <c r="J72" s="42" t="n">
        <v>110</v>
      </c>
    </row>
    <row r="73" customFormat="false" ht="15" hidden="false" customHeight="true" outlineLevel="0" collapsed="false">
      <c r="A73" s="38" t="n">
        <v>1</v>
      </c>
      <c r="B73" s="38" t="s">
        <v>355</v>
      </c>
      <c r="C73" s="38" t="s">
        <v>331</v>
      </c>
      <c r="D73" s="38"/>
      <c r="E73" s="38" t="s">
        <v>348</v>
      </c>
      <c r="F73" s="38" t="s">
        <v>356</v>
      </c>
      <c r="G73" s="38" t="s">
        <v>256</v>
      </c>
      <c r="H73" s="38" t="s">
        <v>334</v>
      </c>
      <c r="I73" s="38"/>
      <c r="J73" s="39" t="n">
        <v>1930.75</v>
      </c>
    </row>
    <row r="74" customFormat="false" ht="15" hidden="false" customHeight="true" outlineLevel="0" collapsed="false">
      <c r="A74" s="40"/>
      <c r="B74" s="40"/>
      <c r="C74" s="40"/>
      <c r="D74" s="40"/>
      <c r="E74" s="40"/>
      <c r="F74" s="40"/>
      <c r="G74" s="40"/>
      <c r="H74" s="41" t="s">
        <v>357</v>
      </c>
      <c r="I74" s="41" t="n">
        <v>1</v>
      </c>
      <c r="J74" s="42" t="n">
        <v>28.05</v>
      </c>
    </row>
    <row r="75" customFormat="false" ht="15" hidden="false" customHeight="true" outlineLevel="0" collapsed="false">
      <c r="A75" s="40"/>
      <c r="B75" s="40"/>
      <c r="C75" s="40"/>
      <c r="D75" s="40"/>
      <c r="E75" s="40"/>
      <c r="F75" s="40"/>
      <c r="G75" s="40"/>
      <c r="H75" s="41" t="s">
        <v>358</v>
      </c>
      <c r="I75" s="41" t="n">
        <v>1</v>
      </c>
      <c r="J75" s="42" t="n">
        <v>14.3</v>
      </c>
    </row>
    <row r="76" customFormat="false" ht="15" hidden="false" customHeight="true" outlineLevel="0" collapsed="false">
      <c r="A76" s="40"/>
      <c r="B76" s="40"/>
      <c r="C76" s="40"/>
      <c r="D76" s="40"/>
      <c r="E76" s="40"/>
      <c r="F76" s="40"/>
      <c r="G76" s="40"/>
      <c r="H76" s="41" t="s">
        <v>359</v>
      </c>
      <c r="I76" s="41" t="n">
        <v>1</v>
      </c>
      <c r="J76" s="42" t="n">
        <v>65</v>
      </c>
    </row>
    <row r="77" customFormat="false" ht="15" hidden="false" customHeight="true" outlineLevel="0" collapsed="false">
      <c r="A77" s="40"/>
      <c r="B77" s="40"/>
      <c r="C77" s="40"/>
      <c r="D77" s="40"/>
      <c r="E77" s="40"/>
      <c r="F77" s="40"/>
      <c r="G77" s="40"/>
      <c r="H77" s="41" t="s">
        <v>360</v>
      </c>
      <c r="I77" s="41" t="n">
        <v>4</v>
      </c>
      <c r="J77" s="42" t="n">
        <v>104</v>
      </c>
    </row>
    <row r="78" customFormat="false" ht="15" hidden="false" customHeight="true" outlineLevel="0" collapsed="false">
      <c r="A78" s="40"/>
      <c r="B78" s="40"/>
      <c r="C78" s="40"/>
      <c r="D78" s="40"/>
      <c r="E78" s="40"/>
      <c r="F78" s="40"/>
      <c r="G78" s="40"/>
      <c r="H78" s="41" t="s">
        <v>361</v>
      </c>
      <c r="I78" s="41" t="n">
        <v>1</v>
      </c>
      <c r="J78" s="42" t="n">
        <v>57</v>
      </c>
    </row>
    <row r="79" customFormat="false" ht="15" hidden="false" customHeight="true" outlineLevel="0" collapsed="false">
      <c r="A79" s="40"/>
      <c r="B79" s="40"/>
      <c r="C79" s="40"/>
      <c r="D79" s="40"/>
      <c r="E79" s="40"/>
      <c r="F79" s="40"/>
      <c r="G79" s="40"/>
      <c r="H79" s="41" t="s">
        <v>362</v>
      </c>
      <c r="I79" s="41" t="n">
        <v>1</v>
      </c>
      <c r="J79" s="42" t="n">
        <v>87</v>
      </c>
    </row>
    <row r="80" customFormat="false" ht="15" hidden="false" customHeight="true" outlineLevel="0" collapsed="false">
      <c r="A80" s="40"/>
      <c r="B80" s="40"/>
      <c r="C80" s="40"/>
      <c r="D80" s="40"/>
      <c r="E80" s="40"/>
      <c r="F80" s="40"/>
      <c r="G80" s="40"/>
      <c r="H80" s="41" t="s">
        <v>363</v>
      </c>
      <c r="I80" s="41" t="n">
        <v>1</v>
      </c>
      <c r="J80" s="42" t="n">
        <v>14</v>
      </c>
    </row>
    <row r="81" customFormat="false" ht="15" hidden="false" customHeight="true" outlineLevel="0" collapsed="false">
      <c r="A81" s="40"/>
      <c r="B81" s="40"/>
      <c r="C81" s="40"/>
      <c r="D81" s="40"/>
      <c r="E81" s="40"/>
      <c r="F81" s="40"/>
      <c r="G81" s="40"/>
      <c r="H81" s="41" t="s">
        <v>340</v>
      </c>
      <c r="I81" s="41" t="n">
        <v>36</v>
      </c>
      <c r="J81" s="42" t="n">
        <v>1278</v>
      </c>
    </row>
    <row r="82" customFormat="false" ht="15" hidden="false" customHeight="true" outlineLevel="0" collapsed="false">
      <c r="A82" s="40"/>
      <c r="B82" s="40"/>
      <c r="C82" s="40"/>
      <c r="D82" s="40"/>
      <c r="E82" s="40"/>
      <c r="F82" s="40"/>
      <c r="G82" s="40"/>
      <c r="H82" s="41" t="s">
        <v>364</v>
      </c>
      <c r="I82" s="41" t="n">
        <v>2</v>
      </c>
      <c r="J82" s="42" t="n">
        <v>130</v>
      </c>
    </row>
    <row r="83" customFormat="false" ht="15" hidden="false" customHeight="true" outlineLevel="0" collapsed="false">
      <c r="A83" s="40"/>
      <c r="B83" s="40"/>
      <c r="C83" s="40"/>
      <c r="D83" s="40"/>
      <c r="E83" s="40"/>
      <c r="F83" s="40"/>
      <c r="G83" s="40"/>
      <c r="H83" s="41" t="s">
        <v>365</v>
      </c>
      <c r="I83" s="41" t="n">
        <v>2</v>
      </c>
      <c r="J83" s="42" t="n">
        <v>18.4</v>
      </c>
    </row>
    <row r="84" customFormat="false" ht="15" hidden="false" customHeight="true" outlineLevel="0" collapsed="false">
      <c r="A84" s="40"/>
      <c r="B84" s="40"/>
      <c r="C84" s="40"/>
      <c r="D84" s="40"/>
      <c r="E84" s="40"/>
      <c r="F84" s="40"/>
      <c r="G84" s="40"/>
      <c r="H84" s="41" t="s">
        <v>366</v>
      </c>
      <c r="I84" s="41" t="n">
        <v>2</v>
      </c>
      <c r="J84" s="42" t="n">
        <v>135</v>
      </c>
    </row>
    <row r="85" customFormat="false" ht="15" hidden="false" customHeight="true" outlineLevel="0" collapsed="false">
      <c r="H85" s="43" t="s">
        <v>367</v>
      </c>
      <c r="J85" s="44" t="n">
        <f aca="false">J6+J9+J13+J15+J17+J22+J24+J30+J32+J35+J37+J39+J43+J50+J52+J54+J63+J66+J68+J73</f>
        <v>9098.24</v>
      </c>
    </row>
    <row r="87" customFormat="false" ht="15" hidden="false" customHeight="true" outlineLevel="0" collapsed="false">
      <c r="A87" s="37" t="s">
        <v>368</v>
      </c>
    </row>
    <row r="88" customFormat="false" ht="15" hidden="false" customHeight="true" outlineLevel="0" collapsed="false">
      <c r="A88" s="38" t="n">
        <v>2</v>
      </c>
      <c r="B88" s="38" t="s">
        <v>369</v>
      </c>
      <c r="C88" s="38" t="s">
        <v>265</v>
      </c>
      <c r="D88" s="38" t="s">
        <v>370</v>
      </c>
      <c r="E88" s="38" t="s">
        <v>159</v>
      </c>
      <c r="F88" s="38" t="s">
        <v>371</v>
      </c>
      <c r="G88" s="38" t="s">
        <v>256</v>
      </c>
      <c r="H88" s="38" t="s">
        <v>250</v>
      </c>
      <c r="I88" s="38"/>
      <c r="J88" s="39" t="n">
        <v>10</v>
      </c>
    </row>
    <row r="89" customFormat="false" ht="15" hidden="false" customHeight="true" outlineLevel="0" collapsed="false">
      <c r="A89" s="40"/>
      <c r="B89" s="40"/>
      <c r="C89" s="40"/>
      <c r="D89" s="40"/>
      <c r="E89" s="40"/>
      <c r="F89" s="40"/>
      <c r="G89" s="40"/>
      <c r="H89" s="41" t="s">
        <v>372</v>
      </c>
      <c r="I89" s="41" t="n">
        <v>1</v>
      </c>
      <c r="J89" s="42" t="n">
        <v>10</v>
      </c>
    </row>
    <row r="90" customFormat="false" ht="15" hidden="false" customHeight="true" outlineLevel="0" collapsed="false">
      <c r="A90" s="38" t="n">
        <v>2</v>
      </c>
      <c r="B90" s="38" t="s">
        <v>373</v>
      </c>
      <c r="C90" s="38" t="s">
        <v>265</v>
      </c>
      <c r="D90" s="38" t="s">
        <v>374</v>
      </c>
      <c r="E90" s="38" t="s">
        <v>375</v>
      </c>
      <c r="F90" s="38" t="s">
        <v>376</v>
      </c>
      <c r="G90" s="38" t="s">
        <v>256</v>
      </c>
      <c r="H90" s="38" t="s">
        <v>250</v>
      </c>
      <c r="I90" s="38"/>
      <c r="J90" s="39" t="n">
        <v>76</v>
      </c>
    </row>
    <row r="91" customFormat="false" ht="15" hidden="false" customHeight="true" outlineLevel="0" collapsed="false">
      <c r="A91" s="40"/>
      <c r="B91" s="40"/>
      <c r="C91" s="40"/>
      <c r="D91" s="40"/>
      <c r="E91" s="40"/>
      <c r="F91" s="40"/>
      <c r="G91" s="40"/>
      <c r="H91" s="41" t="s">
        <v>377</v>
      </c>
      <c r="I91" s="41" t="n">
        <v>1</v>
      </c>
      <c r="J91" s="42" t="n">
        <v>65</v>
      </c>
    </row>
    <row r="92" customFormat="false" ht="15" hidden="false" customHeight="true" outlineLevel="0" collapsed="false">
      <c r="A92" s="40"/>
      <c r="B92" s="40"/>
      <c r="C92" s="40"/>
      <c r="D92" s="40"/>
      <c r="E92" s="40"/>
      <c r="F92" s="40"/>
      <c r="G92" s="40"/>
      <c r="H92" s="41" t="s">
        <v>378</v>
      </c>
      <c r="I92" s="41" t="n">
        <v>1</v>
      </c>
      <c r="J92" s="42" t="n">
        <v>11</v>
      </c>
    </row>
    <row r="93" customFormat="false" ht="15" hidden="false" customHeight="true" outlineLevel="0" collapsed="false">
      <c r="A93" s="38" t="n">
        <v>2</v>
      </c>
      <c r="B93" s="38" t="s">
        <v>379</v>
      </c>
      <c r="C93" s="38" t="s">
        <v>265</v>
      </c>
      <c r="D93" s="38" t="s">
        <v>380</v>
      </c>
      <c r="E93" s="38" t="s">
        <v>375</v>
      </c>
      <c r="F93" s="38" t="s">
        <v>381</v>
      </c>
      <c r="G93" s="38" t="s">
        <v>249</v>
      </c>
      <c r="H93" s="38" t="s">
        <v>250</v>
      </c>
      <c r="I93" s="38"/>
      <c r="J93" s="39" t="n">
        <v>99</v>
      </c>
    </row>
    <row r="94" customFormat="false" ht="15" hidden="false" customHeight="true" outlineLevel="0" collapsed="false">
      <c r="A94" s="40"/>
      <c r="B94" s="40"/>
      <c r="C94" s="40"/>
      <c r="D94" s="40"/>
      <c r="E94" s="40"/>
      <c r="F94" s="40"/>
      <c r="G94" s="40"/>
      <c r="H94" s="41" t="s">
        <v>382</v>
      </c>
      <c r="I94" s="41" t="n">
        <v>1</v>
      </c>
      <c r="J94" s="42" t="n">
        <v>99</v>
      </c>
    </row>
    <row r="95" customFormat="false" ht="15" hidden="false" customHeight="true" outlineLevel="0" collapsed="false">
      <c r="A95" s="38" t="n">
        <v>2</v>
      </c>
      <c r="B95" s="38" t="s">
        <v>383</v>
      </c>
      <c r="C95" s="38" t="s">
        <v>269</v>
      </c>
      <c r="D95" s="38" t="s">
        <v>384</v>
      </c>
      <c r="E95" s="38" t="s">
        <v>159</v>
      </c>
      <c r="F95" s="38" t="s">
        <v>385</v>
      </c>
      <c r="G95" s="38" t="s">
        <v>256</v>
      </c>
      <c r="H95" s="38" t="s">
        <v>250</v>
      </c>
      <c r="I95" s="38"/>
      <c r="J95" s="39" t="n">
        <v>203.53</v>
      </c>
    </row>
    <row r="96" customFormat="false" ht="15" hidden="false" customHeight="true" outlineLevel="0" collapsed="false">
      <c r="A96" s="40"/>
      <c r="B96" s="40"/>
      <c r="C96" s="40"/>
      <c r="D96" s="40"/>
      <c r="E96" s="40"/>
      <c r="F96" s="40"/>
      <c r="G96" s="40"/>
      <c r="H96" s="41" t="s">
        <v>386</v>
      </c>
      <c r="I96" s="41" t="n">
        <v>1</v>
      </c>
      <c r="J96" s="42" t="n">
        <v>70.7</v>
      </c>
    </row>
    <row r="97" customFormat="false" ht="15" hidden="false" customHeight="true" outlineLevel="0" collapsed="false">
      <c r="A97" s="40"/>
      <c r="B97" s="40"/>
      <c r="C97" s="40"/>
      <c r="D97" s="40"/>
      <c r="E97" s="40"/>
      <c r="F97" s="40"/>
      <c r="G97" s="40"/>
      <c r="H97" s="41" t="s">
        <v>387</v>
      </c>
      <c r="I97" s="41" t="n">
        <v>1</v>
      </c>
      <c r="J97" s="42" t="n">
        <v>132.83</v>
      </c>
    </row>
    <row r="98" customFormat="false" ht="15" hidden="false" customHeight="true" outlineLevel="0" collapsed="false">
      <c r="A98" s="38" t="n">
        <v>2</v>
      </c>
      <c r="B98" s="38" t="s">
        <v>388</v>
      </c>
      <c r="C98" s="38" t="s">
        <v>269</v>
      </c>
      <c r="D98" s="38" t="s">
        <v>389</v>
      </c>
      <c r="E98" s="38" t="s">
        <v>159</v>
      </c>
      <c r="F98" s="38" t="s">
        <v>390</v>
      </c>
      <c r="G98" s="38" t="s">
        <v>256</v>
      </c>
      <c r="H98" s="38" t="s">
        <v>250</v>
      </c>
      <c r="I98" s="38"/>
      <c r="J98" s="39" t="n">
        <v>152.09</v>
      </c>
    </row>
    <row r="99" customFormat="false" ht="15" hidden="false" customHeight="true" outlineLevel="0" collapsed="false">
      <c r="A99" s="40"/>
      <c r="B99" s="40"/>
      <c r="C99" s="40"/>
      <c r="D99" s="40"/>
      <c r="E99" s="40"/>
      <c r="F99" s="40"/>
      <c r="G99" s="40"/>
      <c r="H99" s="41" t="s">
        <v>372</v>
      </c>
      <c r="I99" s="41" t="n">
        <v>1</v>
      </c>
      <c r="J99" s="42" t="n">
        <v>58.8</v>
      </c>
    </row>
    <row r="100" customFormat="false" ht="15" hidden="false" customHeight="true" outlineLevel="0" collapsed="false">
      <c r="A100" s="40"/>
      <c r="B100" s="40"/>
      <c r="C100" s="40"/>
      <c r="D100" s="40"/>
      <c r="E100" s="40"/>
      <c r="F100" s="40"/>
      <c r="G100" s="40"/>
      <c r="H100" s="41" t="s">
        <v>391</v>
      </c>
      <c r="I100" s="41" t="n">
        <v>1</v>
      </c>
      <c r="J100" s="42" t="n">
        <v>73</v>
      </c>
    </row>
    <row r="101" customFormat="false" ht="15" hidden="false" customHeight="true" outlineLevel="0" collapsed="false">
      <c r="A101" s="40"/>
      <c r="B101" s="40"/>
      <c r="C101" s="40"/>
      <c r="D101" s="40"/>
      <c r="E101" s="40"/>
      <c r="F101" s="40"/>
      <c r="G101" s="40"/>
      <c r="H101" s="41" t="s">
        <v>392</v>
      </c>
      <c r="I101" s="41" t="n">
        <v>1</v>
      </c>
      <c r="J101" s="42" t="n">
        <v>4.69</v>
      </c>
    </row>
    <row r="102" customFormat="false" ht="15" hidden="false" customHeight="true" outlineLevel="0" collapsed="false">
      <c r="A102" s="40"/>
      <c r="B102" s="40"/>
      <c r="C102" s="40"/>
      <c r="D102" s="40"/>
      <c r="E102" s="40"/>
      <c r="F102" s="40"/>
      <c r="G102" s="40"/>
      <c r="H102" s="41" t="s">
        <v>393</v>
      </c>
      <c r="I102" s="41" t="n">
        <v>1</v>
      </c>
      <c r="J102" s="42" t="n">
        <v>15.6</v>
      </c>
    </row>
    <row r="103" customFormat="false" ht="15" hidden="false" customHeight="true" outlineLevel="0" collapsed="false">
      <c r="A103" s="38" t="n">
        <v>2</v>
      </c>
      <c r="B103" s="38" t="s">
        <v>394</v>
      </c>
      <c r="C103" s="38" t="s">
        <v>57</v>
      </c>
      <c r="D103" s="38" t="s">
        <v>395</v>
      </c>
      <c r="E103" s="38" t="s">
        <v>159</v>
      </c>
      <c r="F103" s="38" t="s">
        <v>396</v>
      </c>
      <c r="G103" s="38" t="s">
        <v>256</v>
      </c>
      <c r="H103" s="38" t="s">
        <v>250</v>
      </c>
      <c r="I103" s="38"/>
      <c r="J103" s="39" t="n">
        <v>79.5</v>
      </c>
    </row>
    <row r="104" customFormat="false" ht="15" hidden="false" customHeight="true" outlineLevel="0" collapsed="false">
      <c r="A104" s="40"/>
      <c r="B104" s="40"/>
      <c r="C104" s="40"/>
      <c r="D104" s="40"/>
      <c r="E104" s="40"/>
      <c r="F104" s="40"/>
      <c r="G104" s="40"/>
      <c r="H104" s="41" t="s">
        <v>397</v>
      </c>
      <c r="I104" s="41" t="n">
        <v>1</v>
      </c>
      <c r="J104" s="42" t="n">
        <v>39</v>
      </c>
    </row>
    <row r="105" customFormat="false" ht="15" hidden="false" customHeight="true" outlineLevel="0" collapsed="false">
      <c r="A105" s="40"/>
      <c r="B105" s="40"/>
      <c r="C105" s="40"/>
      <c r="D105" s="40"/>
      <c r="E105" s="40"/>
      <c r="F105" s="40"/>
      <c r="G105" s="40"/>
      <c r="H105" s="41" t="s">
        <v>398</v>
      </c>
      <c r="I105" s="41" t="n">
        <v>1</v>
      </c>
      <c r="J105" s="42" t="n">
        <v>18</v>
      </c>
    </row>
    <row r="106" customFormat="false" ht="15" hidden="false" customHeight="true" outlineLevel="0" collapsed="false">
      <c r="A106" s="40"/>
      <c r="B106" s="40"/>
      <c r="C106" s="40"/>
      <c r="D106" s="40"/>
      <c r="E106" s="40"/>
      <c r="F106" s="40"/>
      <c r="G106" s="40"/>
      <c r="H106" s="41" t="s">
        <v>399</v>
      </c>
      <c r="I106" s="41" t="n">
        <v>1</v>
      </c>
      <c r="J106" s="42" t="n">
        <v>22.5</v>
      </c>
    </row>
    <row r="107" customFormat="false" ht="15" hidden="false" customHeight="true" outlineLevel="0" collapsed="false">
      <c r="A107" s="38" t="n">
        <v>2</v>
      </c>
      <c r="B107" s="38" t="s">
        <v>400</v>
      </c>
      <c r="C107" s="38" t="s">
        <v>133</v>
      </c>
      <c r="D107" s="38" t="s">
        <v>401</v>
      </c>
      <c r="E107" s="38" t="s">
        <v>159</v>
      </c>
      <c r="F107" s="38" t="s">
        <v>402</v>
      </c>
      <c r="G107" s="38" t="s">
        <v>256</v>
      </c>
      <c r="H107" s="38" t="s">
        <v>250</v>
      </c>
      <c r="I107" s="38"/>
      <c r="J107" s="39" t="n">
        <v>46.5</v>
      </c>
    </row>
    <row r="108" customFormat="false" ht="15" hidden="false" customHeight="true" outlineLevel="0" collapsed="false">
      <c r="A108" s="40"/>
      <c r="B108" s="40"/>
      <c r="C108" s="40"/>
      <c r="D108" s="40"/>
      <c r="E108" s="40"/>
      <c r="F108" s="40"/>
      <c r="G108" s="40"/>
      <c r="H108" s="41" t="s">
        <v>403</v>
      </c>
      <c r="I108" s="41" t="n">
        <v>1</v>
      </c>
      <c r="J108" s="42" t="n">
        <v>34.75</v>
      </c>
    </row>
    <row r="109" customFormat="false" ht="15" hidden="false" customHeight="true" outlineLevel="0" collapsed="false">
      <c r="A109" s="40"/>
      <c r="B109" s="40"/>
      <c r="C109" s="40"/>
      <c r="D109" s="40"/>
      <c r="E109" s="40"/>
      <c r="F109" s="40"/>
      <c r="G109" s="40"/>
      <c r="H109" s="41" t="s">
        <v>404</v>
      </c>
      <c r="I109" s="41" t="n">
        <v>1</v>
      </c>
      <c r="J109" s="42" t="n">
        <v>11.75</v>
      </c>
    </row>
    <row r="110" customFormat="false" ht="15" hidden="false" customHeight="true" outlineLevel="0" collapsed="false">
      <c r="A110" s="38" t="n">
        <v>2</v>
      </c>
      <c r="B110" s="38" t="s">
        <v>405</v>
      </c>
      <c r="C110" s="38" t="s">
        <v>63</v>
      </c>
      <c r="D110" s="38" t="s">
        <v>406</v>
      </c>
      <c r="E110" s="38" t="s">
        <v>159</v>
      </c>
      <c r="F110" s="38" t="s">
        <v>407</v>
      </c>
      <c r="G110" s="38" t="s">
        <v>256</v>
      </c>
      <c r="H110" s="38" t="s">
        <v>250</v>
      </c>
      <c r="I110" s="38"/>
      <c r="J110" s="39" t="n">
        <v>33.9</v>
      </c>
    </row>
    <row r="111" customFormat="false" ht="15" hidden="false" customHeight="true" outlineLevel="0" collapsed="false">
      <c r="A111" s="40"/>
      <c r="B111" s="40"/>
      <c r="C111" s="40"/>
      <c r="D111" s="40"/>
      <c r="E111" s="40"/>
      <c r="F111" s="40"/>
      <c r="G111" s="40"/>
      <c r="H111" s="41" t="s">
        <v>408</v>
      </c>
      <c r="I111" s="41" t="n">
        <v>1</v>
      </c>
      <c r="J111" s="42" t="n">
        <v>33.9</v>
      </c>
    </row>
    <row r="112" customFormat="false" ht="15" hidden="false" customHeight="true" outlineLevel="0" collapsed="false">
      <c r="A112" s="38" t="n">
        <v>2</v>
      </c>
      <c r="B112" s="38" t="s">
        <v>409</v>
      </c>
      <c r="C112" s="38" t="s">
        <v>63</v>
      </c>
      <c r="D112" s="38" t="s">
        <v>410</v>
      </c>
      <c r="E112" s="38" t="s">
        <v>159</v>
      </c>
      <c r="F112" s="38" t="s">
        <v>411</v>
      </c>
      <c r="G112" s="38" t="s">
        <v>256</v>
      </c>
      <c r="H112" s="38" t="s">
        <v>250</v>
      </c>
      <c r="I112" s="38"/>
      <c r="J112" s="39" t="n">
        <v>553.15</v>
      </c>
    </row>
    <row r="113" customFormat="false" ht="15" hidden="false" customHeight="true" outlineLevel="0" collapsed="false">
      <c r="A113" s="40"/>
      <c r="B113" s="40"/>
      <c r="C113" s="40"/>
      <c r="D113" s="40"/>
      <c r="E113" s="40"/>
      <c r="F113" s="40"/>
      <c r="G113" s="40"/>
      <c r="H113" s="41" t="s">
        <v>412</v>
      </c>
      <c r="I113" s="41" t="n">
        <v>1</v>
      </c>
      <c r="J113" s="42" t="n">
        <v>119</v>
      </c>
    </row>
    <row r="114" customFormat="false" ht="15" hidden="false" customHeight="true" outlineLevel="0" collapsed="false">
      <c r="A114" s="40"/>
      <c r="B114" s="40"/>
      <c r="C114" s="40"/>
      <c r="D114" s="40"/>
      <c r="E114" s="40"/>
      <c r="F114" s="40"/>
      <c r="G114" s="40"/>
      <c r="H114" s="41" t="s">
        <v>413</v>
      </c>
      <c r="I114" s="41" t="n">
        <v>1</v>
      </c>
      <c r="J114" s="42" t="n">
        <v>163.2</v>
      </c>
    </row>
    <row r="115" customFormat="false" ht="15" hidden="false" customHeight="true" outlineLevel="0" collapsed="false">
      <c r="A115" s="40"/>
      <c r="B115" s="40"/>
      <c r="C115" s="40"/>
      <c r="D115" s="40"/>
      <c r="E115" s="40"/>
      <c r="F115" s="40"/>
      <c r="G115" s="40"/>
      <c r="H115" s="41" t="s">
        <v>414</v>
      </c>
      <c r="I115" s="41" t="n">
        <v>1</v>
      </c>
      <c r="J115" s="42" t="n">
        <v>55.9</v>
      </c>
    </row>
    <row r="116" customFormat="false" ht="15" hidden="false" customHeight="true" outlineLevel="0" collapsed="false">
      <c r="A116" s="40"/>
      <c r="B116" s="40"/>
      <c r="C116" s="40"/>
      <c r="D116" s="40"/>
      <c r="E116" s="40"/>
      <c r="F116" s="40"/>
      <c r="G116" s="40"/>
      <c r="H116" s="41" t="s">
        <v>415</v>
      </c>
      <c r="I116" s="41" t="n">
        <v>1</v>
      </c>
      <c r="J116" s="42" t="n">
        <v>49</v>
      </c>
    </row>
    <row r="117" customFormat="false" ht="15" hidden="false" customHeight="true" outlineLevel="0" collapsed="false">
      <c r="A117" s="40"/>
      <c r="B117" s="40"/>
      <c r="C117" s="40"/>
      <c r="D117" s="40"/>
      <c r="E117" s="40"/>
      <c r="F117" s="40"/>
      <c r="G117" s="40"/>
      <c r="H117" s="41" t="s">
        <v>372</v>
      </c>
      <c r="I117" s="41" t="n">
        <v>1</v>
      </c>
      <c r="J117" s="42" t="n">
        <v>37.05</v>
      </c>
    </row>
    <row r="118" customFormat="false" ht="15" hidden="false" customHeight="true" outlineLevel="0" collapsed="false">
      <c r="A118" s="40"/>
      <c r="B118" s="40"/>
      <c r="C118" s="40"/>
      <c r="D118" s="40"/>
      <c r="E118" s="40"/>
      <c r="F118" s="40"/>
      <c r="G118" s="40"/>
      <c r="H118" s="41" t="s">
        <v>416</v>
      </c>
      <c r="I118" s="41" t="n">
        <v>1</v>
      </c>
      <c r="J118" s="42" t="n">
        <v>129</v>
      </c>
    </row>
    <row r="119" customFormat="false" ht="15" hidden="false" customHeight="true" outlineLevel="0" collapsed="false">
      <c r="A119" s="38" t="n">
        <v>2</v>
      </c>
      <c r="B119" s="38" t="s">
        <v>417</v>
      </c>
      <c r="C119" s="38" t="s">
        <v>66</v>
      </c>
      <c r="D119" s="38" t="s">
        <v>418</v>
      </c>
      <c r="E119" s="38" t="s">
        <v>375</v>
      </c>
      <c r="F119" s="38" t="s">
        <v>419</v>
      </c>
      <c r="G119" s="38" t="s">
        <v>256</v>
      </c>
      <c r="H119" s="38" t="s">
        <v>250</v>
      </c>
      <c r="I119" s="38"/>
      <c r="J119" s="39" t="n">
        <v>56</v>
      </c>
    </row>
    <row r="120" customFormat="false" ht="15" hidden="false" customHeight="true" outlineLevel="0" collapsed="false">
      <c r="A120" s="40"/>
      <c r="B120" s="40"/>
      <c r="C120" s="40"/>
      <c r="D120" s="40"/>
      <c r="E120" s="40"/>
      <c r="F120" s="40"/>
      <c r="G120" s="40"/>
      <c r="H120" s="41" t="s">
        <v>420</v>
      </c>
      <c r="I120" s="41" t="n">
        <v>1</v>
      </c>
      <c r="J120" s="42" t="n">
        <v>56</v>
      </c>
    </row>
    <row r="121" customFormat="false" ht="15" hidden="false" customHeight="true" outlineLevel="0" collapsed="false">
      <c r="A121" s="38" t="n">
        <v>2</v>
      </c>
      <c r="B121" s="38" t="s">
        <v>421</v>
      </c>
      <c r="C121" s="38" t="s">
        <v>322</v>
      </c>
      <c r="D121" s="38" t="s">
        <v>422</v>
      </c>
      <c r="E121" s="38" t="s">
        <v>375</v>
      </c>
      <c r="F121" s="38" t="s">
        <v>423</v>
      </c>
      <c r="G121" s="38" t="s">
        <v>249</v>
      </c>
      <c r="H121" s="38" t="s">
        <v>250</v>
      </c>
      <c r="I121" s="38"/>
      <c r="J121" s="39" t="n">
        <v>99</v>
      </c>
    </row>
    <row r="122" customFormat="false" ht="15" hidden="false" customHeight="true" outlineLevel="0" collapsed="false">
      <c r="A122" s="40"/>
      <c r="B122" s="40"/>
      <c r="C122" s="40"/>
      <c r="D122" s="40"/>
      <c r="E122" s="40"/>
      <c r="F122" s="40"/>
      <c r="G122" s="40"/>
      <c r="H122" s="41" t="s">
        <v>424</v>
      </c>
      <c r="I122" s="41" t="n">
        <v>1</v>
      </c>
      <c r="J122" s="42" t="n">
        <v>99</v>
      </c>
    </row>
    <row r="123" customFormat="false" ht="15" hidden="false" customHeight="true" outlineLevel="0" collapsed="false">
      <c r="A123" s="38" t="n">
        <v>2</v>
      </c>
      <c r="B123" s="38" t="s">
        <v>425</v>
      </c>
      <c r="C123" s="38" t="s">
        <v>322</v>
      </c>
      <c r="D123" s="38" t="s">
        <v>426</v>
      </c>
      <c r="E123" s="38" t="s">
        <v>159</v>
      </c>
      <c r="F123" s="38" t="s">
        <v>427</v>
      </c>
      <c r="G123" s="38" t="s">
        <v>256</v>
      </c>
      <c r="H123" s="38" t="s">
        <v>250</v>
      </c>
      <c r="I123" s="38"/>
      <c r="J123" s="39" t="n">
        <v>248.46</v>
      </c>
    </row>
    <row r="124" customFormat="false" ht="15" hidden="false" customHeight="true" outlineLevel="0" collapsed="false">
      <c r="A124" s="40"/>
      <c r="B124" s="40"/>
      <c r="C124" s="40"/>
      <c r="D124" s="40"/>
      <c r="E124" s="40"/>
      <c r="F124" s="40"/>
      <c r="G124" s="40"/>
      <c r="H124" s="41" t="s">
        <v>428</v>
      </c>
      <c r="I124" s="41" t="n">
        <v>2</v>
      </c>
      <c r="J124" s="42" t="n">
        <v>54.6</v>
      </c>
    </row>
    <row r="125" customFormat="false" ht="15" hidden="false" customHeight="true" outlineLevel="0" collapsed="false">
      <c r="A125" s="40"/>
      <c r="B125" s="40"/>
      <c r="C125" s="40"/>
      <c r="D125" s="40"/>
      <c r="E125" s="40"/>
      <c r="F125" s="40"/>
      <c r="G125" s="40"/>
      <c r="H125" s="41" t="s">
        <v>429</v>
      </c>
      <c r="I125" s="41" t="n">
        <v>1</v>
      </c>
      <c r="J125" s="42" t="n">
        <v>17.96</v>
      </c>
    </row>
    <row r="126" customFormat="false" ht="15" hidden="false" customHeight="true" outlineLevel="0" collapsed="false">
      <c r="A126" s="40"/>
      <c r="B126" s="40"/>
      <c r="C126" s="40"/>
      <c r="D126" s="40"/>
      <c r="E126" s="40"/>
      <c r="F126" s="40"/>
      <c r="G126" s="40"/>
      <c r="H126" s="41" t="s">
        <v>430</v>
      </c>
      <c r="I126" s="41" t="n">
        <v>1</v>
      </c>
      <c r="J126" s="42" t="n">
        <v>175.9</v>
      </c>
    </row>
    <row r="127" customFormat="false" ht="15" hidden="false" customHeight="true" outlineLevel="0" collapsed="false">
      <c r="A127" s="38" t="n">
        <v>2</v>
      </c>
      <c r="B127" s="38" t="s">
        <v>431</v>
      </c>
      <c r="C127" s="38" t="s">
        <v>71</v>
      </c>
      <c r="D127" s="38" t="s">
        <v>432</v>
      </c>
      <c r="E127" s="38" t="s">
        <v>159</v>
      </c>
      <c r="F127" s="38" t="s">
        <v>433</v>
      </c>
      <c r="G127" s="38" t="s">
        <v>256</v>
      </c>
      <c r="H127" s="38" t="s">
        <v>250</v>
      </c>
      <c r="I127" s="38"/>
      <c r="J127" s="39" t="n">
        <v>55</v>
      </c>
    </row>
    <row r="128" customFormat="false" ht="15" hidden="false" customHeight="true" outlineLevel="0" collapsed="false">
      <c r="A128" s="40"/>
      <c r="B128" s="40"/>
      <c r="C128" s="40"/>
      <c r="D128" s="40"/>
      <c r="E128" s="40"/>
      <c r="F128" s="40"/>
      <c r="G128" s="40"/>
      <c r="H128" s="41" t="s">
        <v>434</v>
      </c>
      <c r="I128" s="41" t="n">
        <v>1</v>
      </c>
      <c r="J128" s="42" t="n">
        <v>55</v>
      </c>
    </row>
    <row r="129" customFormat="false" ht="15" hidden="false" customHeight="true" outlineLevel="0" collapsed="false">
      <c r="A129" s="38" t="n">
        <v>2</v>
      </c>
      <c r="B129" s="38" t="s">
        <v>435</v>
      </c>
      <c r="C129" s="38" t="s">
        <v>71</v>
      </c>
      <c r="D129" s="38" t="s">
        <v>436</v>
      </c>
      <c r="E129" s="38" t="s">
        <v>159</v>
      </c>
      <c r="F129" s="38" t="s">
        <v>437</v>
      </c>
      <c r="G129" s="38" t="s">
        <v>256</v>
      </c>
      <c r="H129" s="38" t="s">
        <v>250</v>
      </c>
      <c r="I129" s="38"/>
      <c r="J129" s="39" t="n">
        <v>196.21</v>
      </c>
    </row>
    <row r="130" customFormat="false" ht="15" hidden="false" customHeight="true" outlineLevel="0" collapsed="false">
      <c r="A130" s="40"/>
      <c r="B130" s="40"/>
      <c r="C130" s="40"/>
      <c r="D130" s="40"/>
      <c r="E130" s="40"/>
      <c r="F130" s="40"/>
      <c r="G130" s="40"/>
      <c r="H130" s="41" t="s">
        <v>438</v>
      </c>
      <c r="I130" s="41" t="n">
        <v>1</v>
      </c>
      <c r="J130" s="42" t="n">
        <v>89</v>
      </c>
    </row>
    <row r="131" customFormat="false" ht="15" hidden="false" customHeight="true" outlineLevel="0" collapsed="false">
      <c r="A131" s="40"/>
      <c r="B131" s="40"/>
      <c r="C131" s="40"/>
      <c r="D131" s="40"/>
      <c r="E131" s="40"/>
      <c r="F131" s="40"/>
      <c r="G131" s="40"/>
      <c r="H131" s="41" t="s">
        <v>439</v>
      </c>
      <c r="I131" s="41" t="n">
        <v>1</v>
      </c>
      <c r="J131" s="42" t="n">
        <v>28.73</v>
      </c>
    </row>
    <row r="132" customFormat="false" ht="15" hidden="false" customHeight="true" outlineLevel="0" collapsed="false">
      <c r="A132" s="40"/>
      <c r="B132" s="40"/>
      <c r="C132" s="40"/>
      <c r="D132" s="40"/>
      <c r="E132" s="40"/>
      <c r="F132" s="40"/>
      <c r="G132" s="40"/>
      <c r="H132" s="41" t="s">
        <v>440</v>
      </c>
      <c r="I132" s="41" t="n">
        <v>1</v>
      </c>
      <c r="J132" s="42" t="n">
        <v>78.48</v>
      </c>
    </row>
    <row r="133" customFormat="false" ht="15" hidden="false" customHeight="true" outlineLevel="0" collapsed="false">
      <c r="A133" s="38" t="n">
        <v>2</v>
      </c>
      <c r="B133" s="38" t="s">
        <v>441</v>
      </c>
      <c r="C133" s="38" t="s">
        <v>326</v>
      </c>
      <c r="D133" s="38" t="s">
        <v>442</v>
      </c>
      <c r="E133" s="38" t="s">
        <v>159</v>
      </c>
      <c r="F133" s="38" t="s">
        <v>443</v>
      </c>
      <c r="G133" s="38" t="s">
        <v>256</v>
      </c>
      <c r="H133" s="38" t="s">
        <v>250</v>
      </c>
      <c r="I133" s="38"/>
      <c r="J133" s="39" t="n">
        <v>82</v>
      </c>
    </row>
    <row r="134" customFormat="false" ht="15" hidden="false" customHeight="true" outlineLevel="0" collapsed="false">
      <c r="A134" s="40"/>
      <c r="B134" s="40"/>
      <c r="C134" s="40"/>
      <c r="D134" s="40"/>
      <c r="E134" s="40"/>
      <c r="F134" s="40"/>
      <c r="G134" s="40"/>
      <c r="H134" s="41" t="s">
        <v>444</v>
      </c>
      <c r="I134" s="41" t="n">
        <v>1</v>
      </c>
      <c r="J134" s="42" t="n">
        <v>82</v>
      </c>
    </row>
    <row r="135" customFormat="false" ht="15" hidden="false" customHeight="true" outlineLevel="0" collapsed="false">
      <c r="A135" s="38" t="n">
        <v>2</v>
      </c>
      <c r="B135" s="38" t="s">
        <v>445</v>
      </c>
      <c r="C135" s="38" t="s">
        <v>326</v>
      </c>
      <c r="D135" s="38" t="s">
        <v>446</v>
      </c>
      <c r="E135" s="38" t="s">
        <v>159</v>
      </c>
      <c r="F135" s="38" t="s">
        <v>447</v>
      </c>
      <c r="G135" s="38" t="s">
        <v>256</v>
      </c>
      <c r="H135" s="38" t="s">
        <v>250</v>
      </c>
      <c r="I135" s="38"/>
      <c r="J135" s="39" t="n">
        <v>62</v>
      </c>
    </row>
    <row r="136" customFormat="false" ht="15" hidden="false" customHeight="true" outlineLevel="0" collapsed="false">
      <c r="A136" s="40"/>
      <c r="B136" s="40"/>
      <c r="C136" s="40"/>
      <c r="D136" s="40"/>
      <c r="E136" s="40"/>
      <c r="F136" s="40"/>
      <c r="G136" s="40"/>
      <c r="H136" s="41" t="s">
        <v>448</v>
      </c>
      <c r="I136" s="41" t="n">
        <v>1</v>
      </c>
      <c r="J136" s="42" t="n">
        <v>62</v>
      </c>
    </row>
    <row r="137" customFormat="false" ht="15" hidden="false" customHeight="true" outlineLevel="0" collapsed="false">
      <c r="A137" s="38" t="n">
        <v>2</v>
      </c>
      <c r="B137" s="38" t="s">
        <v>449</v>
      </c>
      <c r="C137" s="38" t="s">
        <v>326</v>
      </c>
      <c r="D137" s="38" t="s">
        <v>450</v>
      </c>
      <c r="E137" s="38" t="s">
        <v>159</v>
      </c>
      <c r="F137" s="38" t="s">
        <v>451</v>
      </c>
      <c r="G137" s="38" t="s">
        <v>256</v>
      </c>
      <c r="H137" s="38" t="s">
        <v>250</v>
      </c>
      <c r="I137" s="38"/>
      <c r="J137" s="39" t="n">
        <v>97.8</v>
      </c>
    </row>
    <row r="138" customFormat="false" ht="15" hidden="false" customHeight="true" outlineLevel="0" collapsed="false">
      <c r="A138" s="40"/>
      <c r="B138" s="40"/>
      <c r="C138" s="40"/>
      <c r="D138" s="40"/>
      <c r="E138" s="40"/>
      <c r="F138" s="40"/>
      <c r="G138" s="40"/>
      <c r="H138" s="41" t="s">
        <v>452</v>
      </c>
      <c r="I138" s="41" t="n">
        <v>1</v>
      </c>
      <c r="J138" s="42" t="n">
        <v>89</v>
      </c>
    </row>
    <row r="139" customFormat="false" ht="15" hidden="false" customHeight="true" outlineLevel="0" collapsed="false">
      <c r="A139" s="40"/>
      <c r="B139" s="40"/>
      <c r="C139" s="40"/>
      <c r="D139" s="40"/>
      <c r="E139" s="40"/>
      <c r="F139" s="40"/>
      <c r="G139" s="40"/>
      <c r="H139" s="41" t="s">
        <v>453</v>
      </c>
      <c r="I139" s="41" t="n">
        <v>1</v>
      </c>
      <c r="J139" s="42" t="n">
        <v>8.8</v>
      </c>
    </row>
    <row r="140" customFormat="false" ht="15" hidden="false" customHeight="true" outlineLevel="0" collapsed="false">
      <c r="A140" s="38" t="n">
        <v>2</v>
      </c>
      <c r="B140" s="38" t="s">
        <v>454</v>
      </c>
      <c r="C140" s="38" t="s">
        <v>326</v>
      </c>
      <c r="D140" s="38" t="s">
        <v>455</v>
      </c>
      <c r="E140" s="38" t="s">
        <v>159</v>
      </c>
      <c r="F140" s="38" t="s">
        <v>456</v>
      </c>
      <c r="G140" s="38" t="s">
        <v>256</v>
      </c>
      <c r="H140" s="38" t="s">
        <v>250</v>
      </c>
      <c r="I140" s="38"/>
      <c r="J140" s="39" t="n">
        <v>142</v>
      </c>
    </row>
    <row r="141" customFormat="false" ht="15" hidden="false" customHeight="true" outlineLevel="0" collapsed="false">
      <c r="A141" s="40"/>
      <c r="B141" s="40"/>
      <c r="C141" s="40"/>
      <c r="D141" s="40"/>
      <c r="E141" s="40"/>
      <c r="F141" s="40"/>
      <c r="G141" s="40"/>
      <c r="H141" s="41" t="s">
        <v>457</v>
      </c>
      <c r="I141" s="41" t="n">
        <v>2</v>
      </c>
      <c r="J141" s="42" t="n">
        <v>31</v>
      </c>
    </row>
    <row r="142" customFormat="false" ht="15" hidden="false" customHeight="true" outlineLevel="0" collapsed="false">
      <c r="A142" s="40"/>
      <c r="B142" s="40"/>
      <c r="C142" s="40"/>
      <c r="D142" s="40"/>
      <c r="E142" s="40"/>
      <c r="F142" s="40"/>
      <c r="G142" s="40"/>
      <c r="H142" s="41" t="s">
        <v>458</v>
      </c>
      <c r="I142" s="41" t="n">
        <v>2</v>
      </c>
      <c r="J142" s="42" t="n">
        <v>89</v>
      </c>
    </row>
    <row r="143" customFormat="false" ht="15" hidden="false" customHeight="true" outlineLevel="0" collapsed="false">
      <c r="A143" s="40"/>
      <c r="B143" s="40"/>
      <c r="C143" s="40"/>
      <c r="D143" s="40"/>
      <c r="E143" s="40"/>
      <c r="F143" s="40"/>
      <c r="G143" s="40"/>
      <c r="H143" s="41" t="s">
        <v>459</v>
      </c>
      <c r="I143" s="41" t="n">
        <v>1</v>
      </c>
      <c r="J143" s="42" t="n">
        <v>22</v>
      </c>
    </row>
    <row r="144" customFormat="false" ht="15" hidden="false" customHeight="true" outlineLevel="0" collapsed="false">
      <c r="A144" s="38" t="n">
        <v>2</v>
      </c>
      <c r="B144" s="38" t="s">
        <v>460</v>
      </c>
      <c r="C144" s="38" t="s">
        <v>461</v>
      </c>
      <c r="D144" s="38" t="s">
        <v>462</v>
      </c>
      <c r="E144" s="38" t="s">
        <v>159</v>
      </c>
      <c r="F144" s="38" t="s">
        <v>463</v>
      </c>
      <c r="G144" s="38" t="s">
        <v>249</v>
      </c>
      <c r="H144" s="38" t="s">
        <v>250</v>
      </c>
      <c r="I144" s="38"/>
      <c r="J144" s="39" t="n">
        <v>12.5</v>
      </c>
    </row>
    <row r="145" customFormat="false" ht="15" hidden="false" customHeight="true" outlineLevel="0" collapsed="false">
      <c r="A145" s="40"/>
      <c r="B145" s="40"/>
      <c r="C145" s="40"/>
      <c r="D145" s="40"/>
      <c r="E145" s="40"/>
      <c r="F145" s="40"/>
      <c r="G145" s="40"/>
      <c r="H145" s="41" t="s">
        <v>464</v>
      </c>
      <c r="I145" s="41" t="n">
        <v>1</v>
      </c>
      <c r="J145" s="42" t="n">
        <v>12.5</v>
      </c>
    </row>
    <row r="146" customFormat="false" ht="15" hidden="false" customHeight="true" outlineLevel="0" collapsed="false">
      <c r="H146" s="43" t="s">
        <v>465</v>
      </c>
      <c r="J146" s="44" t="n">
        <f aca="false">J88+J90+J93+J95+J98+J103+J107+J110+J112+J119+J121+J123+J127+J129+J133+J135+J137+J140+J144</f>
        <v>2304.64</v>
      </c>
    </row>
    <row r="148" customFormat="false" ht="15" hidden="false" customHeight="true" outlineLevel="0" collapsed="false">
      <c r="A148" s="37" t="s">
        <v>466</v>
      </c>
    </row>
    <row r="149" customFormat="false" ht="15" hidden="false" customHeight="true" outlineLevel="0" collapsed="false">
      <c r="A149" s="38" t="n">
        <v>3</v>
      </c>
      <c r="B149" s="38" t="s">
        <v>467</v>
      </c>
      <c r="C149" s="38" t="s">
        <v>49</v>
      </c>
      <c r="D149" s="38" t="s">
        <v>468</v>
      </c>
      <c r="E149" s="38" t="s">
        <v>159</v>
      </c>
      <c r="F149" s="38" t="s">
        <v>469</v>
      </c>
      <c r="G149" s="38" t="s">
        <v>249</v>
      </c>
      <c r="H149" s="38" t="s">
        <v>250</v>
      </c>
      <c r="I149" s="38"/>
      <c r="J149" s="39" t="n">
        <v>93.3</v>
      </c>
    </row>
    <row r="150" customFormat="false" ht="15" hidden="false" customHeight="true" outlineLevel="0" collapsed="false">
      <c r="A150" s="40"/>
      <c r="B150" s="40"/>
      <c r="C150" s="40"/>
      <c r="D150" s="40"/>
      <c r="E150" s="40"/>
      <c r="F150" s="40"/>
      <c r="G150" s="40"/>
      <c r="H150" s="41" t="s">
        <v>408</v>
      </c>
      <c r="I150" s="41" t="n">
        <v>2</v>
      </c>
      <c r="J150" s="42" t="n">
        <v>67.8</v>
      </c>
    </row>
    <row r="151" customFormat="false" ht="15" hidden="false" customHeight="true" outlineLevel="0" collapsed="false">
      <c r="A151" s="40"/>
      <c r="B151" s="40"/>
      <c r="C151" s="40"/>
      <c r="D151" s="40"/>
      <c r="E151" s="40"/>
      <c r="F151" s="40"/>
      <c r="G151" s="40"/>
      <c r="H151" s="41" t="s">
        <v>470</v>
      </c>
      <c r="I151" s="41" t="n">
        <v>1</v>
      </c>
      <c r="J151" s="42" t="n">
        <v>25.5</v>
      </c>
    </row>
    <row r="152" customFormat="false" ht="15" hidden="false" customHeight="true" outlineLevel="0" collapsed="false">
      <c r="A152" s="38" t="n">
        <v>3</v>
      </c>
      <c r="B152" s="38" t="s">
        <v>471</v>
      </c>
      <c r="C152" s="38" t="s">
        <v>49</v>
      </c>
      <c r="D152" s="38" t="s">
        <v>384</v>
      </c>
      <c r="E152" s="38" t="s">
        <v>159</v>
      </c>
      <c r="F152" s="38" t="s">
        <v>472</v>
      </c>
      <c r="G152" s="38" t="s">
        <v>256</v>
      </c>
      <c r="H152" s="38" t="s">
        <v>250</v>
      </c>
      <c r="I152" s="38"/>
      <c r="J152" s="39" t="n">
        <v>113</v>
      </c>
    </row>
    <row r="153" customFormat="false" ht="15" hidden="false" customHeight="true" outlineLevel="0" collapsed="false">
      <c r="A153" s="40"/>
      <c r="B153" s="40"/>
      <c r="C153" s="40"/>
      <c r="D153" s="40"/>
      <c r="E153" s="40"/>
      <c r="F153" s="40"/>
      <c r="G153" s="40"/>
      <c r="H153" s="41" t="s">
        <v>473</v>
      </c>
      <c r="I153" s="41" t="n">
        <v>1</v>
      </c>
      <c r="J153" s="42" t="n">
        <v>80</v>
      </c>
    </row>
    <row r="154" customFormat="false" ht="15" hidden="false" customHeight="true" outlineLevel="0" collapsed="false">
      <c r="A154" s="40"/>
      <c r="B154" s="40"/>
      <c r="C154" s="40"/>
      <c r="D154" s="40"/>
      <c r="E154" s="40"/>
      <c r="F154" s="40"/>
      <c r="G154" s="40"/>
      <c r="H154" s="41" t="s">
        <v>474</v>
      </c>
      <c r="I154" s="41" t="n">
        <v>1</v>
      </c>
      <c r="J154" s="42" t="n">
        <v>33</v>
      </c>
    </row>
    <row r="155" customFormat="false" ht="15" hidden="false" customHeight="true" outlineLevel="0" collapsed="false">
      <c r="A155" s="38" t="n">
        <v>3</v>
      </c>
      <c r="B155" s="38" t="s">
        <v>475</v>
      </c>
      <c r="C155" s="38" t="s">
        <v>265</v>
      </c>
      <c r="D155" s="38" t="s">
        <v>476</v>
      </c>
      <c r="E155" s="38" t="s">
        <v>159</v>
      </c>
      <c r="F155" s="38" t="s">
        <v>477</v>
      </c>
      <c r="G155" s="38" t="s">
        <v>256</v>
      </c>
      <c r="H155" s="38" t="s">
        <v>250</v>
      </c>
      <c r="I155" s="38"/>
      <c r="J155" s="39" t="n">
        <v>153</v>
      </c>
    </row>
    <row r="156" customFormat="false" ht="15" hidden="false" customHeight="true" outlineLevel="0" collapsed="false">
      <c r="A156" s="40"/>
      <c r="B156" s="40"/>
      <c r="C156" s="40"/>
      <c r="D156" s="40"/>
      <c r="E156" s="40"/>
      <c r="F156" s="40"/>
      <c r="G156" s="40"/>
      <c r="H156" s="41" t="s">
        <v>478</v>
      </c>
      <c r="I156" s="41" t="n">
        <v>1</v>
      </c>
      <c r="J156" s="42" t="n">
        <v>153</v>
      </c>
    </row>
    <row r="157" customFormat="false" ht="15" hidden="false" customHeight="true" outlineLevel="0" collapsed="false">
      <c r="A157" s="38" t="n">
        <v>3</v>
      </c>
      <c r="B157" s="38" t="s">
        <v>479</v>
      </c>
      <c r="C157" s="38" t="s">
        <v>265</v>
      </c>
      <c r="D157" s="38" t="s">
        <v>480</v>
      </c>
      <c r="E157" s="38" t="s">
        <v>159</v>
      </c>
      <c r="F157" s="38" t="s">
        <v>481</v>
      </c>
      <c r="G157" s="38" t="s">
        <v>249</v>
      </c>
      <c r="H157" s="38" t="s">
        <v>250</v>
      </c>
      <c r="I157" s="38"/>
      <c r="J157" s="39" t="n">
        <v>17.65</v>
      </c>
    </row>
    <row r="158" customFormat="false" ht="15" hidden="false" customHeight="true" outlineLevel="0" collapsed="false">
      <c r="A158" s="40"/>
      <c r="B158" s="40"/>
      <c r="C158" s="40"/>
      <c r="D158" s="40"/>
      <c r="E158" s="40"/>
      <c r="F158" s="40"/>
      <c r="G158" s="40"/>
      <c r="H158" s="41" t="s">
        <v>482</v>
      </c>
      <c r="I158" s="41" t="n">
        <v>1</v>
      </c>
      <c r="J158" s="42" t="n">
        <v>17.65</v>
      </c>
    </row>
    <row r="159" customFormat="false" ht="15" hidden="false" customHeight="true" outlineLevel="0" collapsed="false">
      <c r="A159" s="38" t="n">
        <v>3</v>
      </c>
      <c r="B159" s="38" t="s">
        <v>483</v>
      </c>
      <c r="C159" s="38" t="s">
        <v>265</v>
      </c>
      <c r="D159" s="38" t="s">
        <v>484</v>
      </c>
      <c r="E159" s="38" t="s">
        <v>375</v>
      </c>
      <c r="F159" s="38" t="s">
        <v>485</v>
      </c>
      <c r="G159" s="38" t="s">
        <v>256</v>
      </c>
      <c r="H159" s="38" t="s">
        <v>250</v>
      </c>
      <c r="I159" s="38"/>
      <c r="J159" s="39" t="n">
        <v>99</v>
      </c>
    </row>
    <row r="160" customFormat="false" ht="15" hidden="false" customHeight="true" outlineLevel="0" collapsed="false">
      <c r="A160" s="40"/>
      <c r="B160" s="40"/>
      <c r="C160" s="40"/>
      <c r="D160" s="40"/>
      <c r="E160" s="40"/>
      <c r="F160" s="40"/>
      <c r="G160" s="40"/>
      <c r="H160" s="41" t="s">
        <v>382</v>
      </c>
      <c r="I160" s="41" t="n">
        <v>1</v>
      </c>
      <c r="J160" s="42" t="n">
        <v>99</v>
      </c>
    </row>
    <row r="161" customFormat="false" ht="15" hidden="false" customHeight="true" outlineLevel="0" collapsed="false">
      <c r="A161" s="38" t="n">
        <v>3</v>
      </c>
      <c r="B161" s="38" t="s">
        <v>486</v>
      </c>
      <c r="C161" s="38" t="s">
        <v>54</v>
      </c>
      <c r="D161" s="38" t="s">
        <v>487</v>
      </c>
      <c r="E161" s="38" t="s">
        <v>159</v>
      </c>
      <c r="F161" s="38" t="s">
        <v>488</v>
      </c>
      <c r="G161" s="38" t="s">
        <v>249</v>
      </c>
      <c r="H161" s="38" t="s">
        <v>250</v>
      </c>
      <c r="I161" s="38"/>
      <c r="J161" s="39" t="n">
        <v>60</v>
      </c>
    </row>
    <row r="162" customFormat="false" ht="15" hidden="false" customHeight="true" outlineLevel="0" collapsed="false">
      <c r="A162" s="40"/>
      <c r="B162" s="40"/>
      <c r="C162" s="40"/>
      <c r="D162" s="40"/>
      <c r="E162" s="40"/>
      <c r="F162" s="40"/>
      <c r="G162" s="40"/>
      <c r="H162" s="41" t="s">
        <v>489</v>
      </c>
      <c r="I162" s="41" t="n">
        <v>1</v>
      </c>
      <c r="J162" s="42" t="n">
        <v>60</v>
      </c>
    </row>
    <row r="163" customFormat="false" ht="15" hidden="false" customHeight="true" outlineLevel="0" collapsed="false">
      <c r="A163" s="38" t="n">
        <v>3</v>
      </c>
      <c r="B163" s="38" t="s">
        <v>490</v>
      </c>
      <c r="C163" s="38" t="s">
        <v>57</v>
      </c>
      <c r="D163" s="38" t="s">
        <v>491</v>
      </c>
      <c r="E163" s="38" t="s">
        <v>159</v>
      </c>
      <c r="F163" s="38" t="s">
        <v>492</v>
      </c>
      <c r="G163" s="38" t="s">
        <v>256</v>
      </c>
      <c r="H163" s="38" t="s">
        <v>250</v>
      </c>
      <c r="I163" s="38"/>
      <c r="J163" s="39" t="n">
        <v>253.35</v>
      </c>
    </row>
    <row r="164" customFormat="false" ht="15" hidden="false" customHeight="true" outlineLevel="0" collapsed="false">
      <c r="A164" s="40"/>
      <c r="B164" s="40"/>
      <c r="C164" s="40"/>
      <c r="D164" s="40"/>
      <c r="E164" s="40"/>
      <c r="F164" s="40"/>
      <c r="G164" s="40"/>
      <c r="H164" s="41" t="s">
        <v>493</v>
      </c>
      <c r="I164" s="41" t="n">
        <v>1</v>
      </c>
      <c r="J164" s="42" t="n">
        <v>22</v>
      </c>
    </row>
    <row r="165" customFormat="false" ht="15" hidden="false" customHeight="true" outlineLevel="0" collapsed="false">
      <c r="A165" s="40"/>
      <c r="B165" s="40"/>
      <c r="C165" s="40"/>
      <c r="D165" s="40"/>
      <c r="E165" s="40"/>
      <c r="F165" s="40"/>
      <c r="G165" s="40"/>
      <c r="H165" s="41" t="s">
        <v>494</v>
      </c>
      <c r="I165" s="41" t="n">
        <v>1</v>
      </c>
      <c r="J165" s="42" t="n">
        <v>168.3</v>
      </c>
    </row>
    <row r="166" customFormat="false" ht="15" hidden="false" customHeight="true" outlineLevel="0" collapsed="false">
      <c r="A166" s="40"/>
      <c r="B166" s="40"/>
      <c r="C166" s="40"/>
      <c r="D166" s="40"/>
      <c r="E166" s="40"/>
      <c r="F166" s="40"/>
      <c r="G166" s="40"/>
      <c r="H166" s="41" t="s">
        <v>495</v>
      </c>
      <c r="I166" s="41" t="n">
        <v>1</v>
      </c>
      <c r="J166" s="42" t="n">
        <v>36.45</v>
      </c>
    </row>
    <row r="167" customFormat="false" ht="15" hidden="false" customHeight="true" outlineLevel="0" collapsed="false">
      <c r="A167" s="40"/>
      <c r="B167" s="40"/>
      <c r="C167" s="40"/>
      <c r="D167" s="40"/>
      <c r="E167" s="40"/>
      <c r="F167" s="40"/>
      <c r="G167" s="40"/>
      <c r="H167" s="41" t="s">
        <v>496</v>
      </c>
      <c r="I167" s="41" t="n">
        <v>1</v>
      </c>
      <c r="J167" s="42" t="n">
        <v>4.22</v>
      </c>
    </row>
    <row r="168" customFormat="false" ht="15" hidden="false" customHeight="true" outlineLevel="0" collapsed="false">
      <c r="A168" s="40"/>
      <c r="B168" s="40"/>
      <c r="C168" s="40"/>
      <c r="D168" s="40"/>
      <c r="E168" s="40"/>
      <c r="F168" s="40"/>
      <c r="G168" s="40"/>
      <c r="H168" s="41" t="s">
        <v>497</v>
      </c>
      <c r="I168" s="41" t="n">
        <v>1</v>
      </c>
      <c r="J168" s="42" t="n">
        <v>10.48</v>
      </c>
    </row>
    <row r="169" customFormat="false" ht="15" hidden="false" customHeight="true" outlineLevel="0" collapsed="false">
      <c r="A169" s="40"/>
      <c r="B169" s="40"/>
      <c r="C169" s="40"/>
      <c r="D169" s="40"/>
      <c r="E169" s="40"/>
      <c r="F169" s="40"/>
      <c r="G169" s="40"/>
      <c r="H169" s="41" t="s">
        <v>498</v>
      </c>
      <c r="I169" s="41" t="n">
        <v>1</v>
      </c>
      <c r="J169" s="42" t="n">
        <v>11.9</v>
      </c>
    </row>
    <row r="170" customFormat="false" ht="15" hidden="false" customHeight="true" outlineLevel="0" collapsed="false">
      <c r="A170" s="38" t="n">
        <v>3</v>
      </c>
      <c r="B170" s="38" t="s">
        <v>499</v>
      </c>
      <c r="C170" s="38" t="s">
        <v>60</v>
      </c>
      <c r="D170" s="38" t="s">
        <v>500</v>
      </c>
      <c r="E170" s="38" t="s">
        <v>375</v>
      </c>
      <c r="F170" s="38" t="s">
        <v>501</v>
      </c>
      <c r="G170" s="38" t="s">
        <v>256</v>
      </c>
      <c r="H170" s="38" t="s">
        <v>250</v>
      </c>
      <c r="I170" s="38"/>
      <c r="J170" s="39" t="n">
        <v>99</v>
      </c>
    </row>
    <row r="171" customFormat="false" ht="15" hidden="false" customHeight="true" outlineLevel="0" collapsed="false">
      <c r="A171" s="40"/>
      <c r="B171" s="40"/>
      <c r="C171" s="40"/>
      <c r="D171" s="40"/>
      <c r="E171" s="40"/>
      <c r="F171" s="40"/>
      <c r="G171" s="40"/>
      <c r="H171" s="41" t="s">
        <v>382</v>
      </c>
      <c r="I171" s="41" t="n">
        <v>1</v>
      </c>
      <c r="J171" s="42" t="n">
        <v>99</v>
      </c>
    </row>
    <row r="172" customFormat="false" ht="15" hidden="false" customHeight="true" outlineLevel="0" collapsed="false">
      <c r="A172" s="38" t="n">
        <v>3</v>
      </c>
      <c r="B172" s="38" t="s">
        <v>502</v>
      </c>
      <c r="C172" s="38" t="s">
        <v>60</v>
      </c>
      <c r="D172" s="38" t="s">
        <v>503</v>
      </c>
      <c r="E172" s="38" t="s">
        <v>159</v>
      </c>
      <c r="F172" s="38" t="s">
        <v>504</v>
      </c>
      <c r="G172" s="38" t="s">
        <v>249</v>
      </c>
      <c r="H172" s="38" t="s">
        <v>505</v>
      </c>
      <c r="I172" s="38"/>
      <c r="J172" s="39" t="n">
        <v>144.9</v>
      </c>
    </row>
    <row r="173" customFormat="false" ht="15" hidden="false" customHeight="true" outlineLevel="0" collapsed="false">
      <c r="A173" s="40"/>
      <c r="B173" s="40"/>
      <c r="C173" s="40"/>
      <c r="D173" s="40"/>
      <c r="E173" s="40"/>
      <c r="F173" s="40"/>
      <c r="G173" s="40"/>
      <c r="H173" s="41" t="s">
        <v>506</v>
      </c>
      <c r="I173" s="41" t="n">
        <v>2</v>
      </c>
      <c r="J173" s="42" t="n">
        <v>56</v>
      </c>
    </row>
    <row r="174" customFormat="false" ht="15" hidden="false" customHeight="true" outlineLevel="0" collapsed="false">
      <c r="A174" s="40"/>
      <c r="B174" s="40"/>
      <c r="C174" s="40"/>
      <c r="D174" s="40"/>
      <c r="E174" s="40"/>
      <c r="F174" s="40"/>
      <c r="G174" s="40"/>
      <c r="H174" s="41" t="s">
        <v>507</v>
      </c>
      <c r="I174" s="41" t="n">
        <v>2</v>
      </c>
      <c r="J174" s="42" t="n">
        <v>29.7</v>
      </c>
    </row>
    <row r="175" customFormat="false" ht="15" hidden="false" customHeight="true" outlineLevel="0" collapsed="false">
      <c r="A175" s="40"/>
      <c r="B175" s="40"/>
      <c r="C175" s="40"/>
      <c r="D175" s="40"/>
      <c r="E175" s="40"/>
      <c r="F175" s="40"/>
      <c r="G175" s="40"/>
      <c r="H175" s="41" t="s">
        <v>508</v>
      </c>
      <c r="I175" s="41" t="n">
        <v>1</v>
      </c>
      <c r="J175" s="42" t="n">
        <v>60.2</v>
      </c>
    </row>
    <row r="176" customFormat="false" ht="15" hidden="false" customHeight="true" outlineLevel="0" collapsed="false">
      <c r="A176" s="40"/>
      <c r="B176" s="40"/>
      <c r="C176" s="40"/>
      <c r="D176" s="40"/>
      <c r="E176" s="40"/>
      <c r="F176" s="40"/>
      <c r="G176" s="40"/>
      <c r="H176" s="41" t="s">
        <v>509</v>
      </c>
      <c r="I176" s="41"/>
      <c r="J176" s="42" t="n">
        <v>-1</v>
      </c>
    </row>
    <row r="177" customFormat="false" ht="15" hidden="false" customHeight="true" outlineLevel="0" collapsed="false">
      <c r="A177" s="38" t="n">
        <v>3</v>
      </c>
      <c r="B177" s="38" t="s">
        <v>510</v>
      </c>
      <c r="C177" s="38" t="s">
        <v>60</v>
      </c>
      <c r="D177" s="38" t="s">
        <v>511</v>
      </c>
      <c r="E177" s="38" t="s">
        <v>159</v>
      </c>
      <c r="F177" s="38" t="s">
        <v>512</v>
      </c>
      <c r="G177" s="38" t="s">
        <v>256</v>
      </c>
      <c r="H177" s="38" t="s">
        <v>250</v>
      </c>
      <c r="I177" s="38"/>
      <c r="J177" s="39" t="n">
        <v>120</v>
      </c>
    </row>
    <row r="178" customFormat="false" ht="15" hidden="false" customHeight="true" outlineLevel="0" collapsed="false">
      <c r="A178" s="40"/>
      <c r="B178" s="40"/>
      <c r="C178" s="40"/>
      <c r="D178" s="40"/>
      <c r="E178" s="40"/>
      <c r="F178" s="40"/>
      <c r="G178" s="40"/>
      <c r="H178" s="41" t="s">
        <v>513</v>
      </c>
      <c r="I178" s="41" t="n">
        <v>1</v>
      </c>
      <c r="J178" s="42" t="n">
        <v>120</v>
      </c>
    </row>
    <row r="179" customFormat="false" ht="15" hidden="false" customHeight="true" outlineLevel="0" collapsed="false">
      <c r="A179" s="38" t="n">
        <v>3</v>
      </c>
      <c r="B179" s="38" t="s">
        <v>514</v>
      </c>
      <c r="C179" s="38" t="s">
        <v>69</v>
      </c>
      <c r="D179" s="38" t="s">
        <v>515</v>
      </c>
      <c r="E179" s="38" t="s">
        <v>159</v>
      </c>
      <c r="F179" s="38" t="s">
        <v>516</v>
      </c>
      <c r="G179" s="38" t="s">
        <v>256</v>
      </c>
      <c r="H179" s="38" t="s">
        <v>250</v>
      </c>
      <c r="I179" s="38"/>
      <c r="J179" s="39" t="n">
        <v>65</v>
      </c>
    </row>
    <row r="180" customFormat="false" ht="15" hidden="false" customHeight="true" outlineLevel="0" collapsed="false">
      <c r="A180" s="40"/>
      <c r="B180" s="40"/>
      <c r="C180" s="40"/>
      <c r="D180" s="40"/>
      <c r="E180" s="40"/>
      <c r="F180" s="40"/>
      <c r="G180" s="40"/>
      <c r="H180" s="41" t="s">
        <v>517</v>
      </c>
      <c r="I180" s="41" t="n">
        <v>1</v>
      </c>
      <c r="J180" s="42" t="n">
        <v>65</v>
      </c>
    </row>
    <row r="181" customFormat="false" ht="15" hidden="false" customHeight="true" outlineLevel="0" collapsed="false">
      <c r="H181" s="43" t="s">
        <v>518</v>
      </c>
      <c r="J181" s="44" t="n">
        <f aca="false">J149+J152+J155+J157+J159+J161+J163+J170+J172+J177+J179</f>
        <v>1218.2</v>
      </c>
    </row>
    <row r="183" customFormat="false" ht="15" hidden="false" customHeight="true" outlineLevel="0" collapsed="false">
      <c r="A183" s="37" t="s">
        <v>519</v>
      </c>
    </row>
    <row r="184" customFormat="false" ht="15" hidden="false" customHeight="true" outlineLevel="0" collapsed="false">
      <c r="A184" s="38" t="n">
        <v>4</v>
      </c>
      <c r="B184" s="38" t="s">
        <v>520</v>
      </c>
      <c r="C184" s="38" t="s">
        <v>331</v>
      </c>
      <c r="D184" s="38"/>
      <c r="E184" s="38" t="s">
        <v>159</v>
      </c>
      <c r="F184" s="38" t="s">
        <v>344</v>
      </c>
      <c r="G184" s="38" t="s">
        <v>249</v>
      </c>
      <c r="H184" s="38" t="s">
        <v>334</v>
      </c>
      <c r="I184" s="38"/>
      <c r="J184" s="39" t="n">
        <v>332.4</v>
      </c>
    </row>
    <row r="185" customFormat="false" ht="15" hidden="false" customHeight="true" outlineLevel="0" collapsed="false">
      <c r="A185" s="40"/>
      <c r="B185" s="40"/>
      <c r="C185" s="40"/>
      <c r="D185" s="40"/>
      <c r="E185" s="40"/>
      <c r="F185" s="40"/>
      <c r="G185" s="40"/>
      <c r="H185" s="41" t="s">
        <v>521</v>
      </c>
      <c r="I185" s="41" t="n">
        <v>1</v>
      </c>
      <c r="J185" s="42" t="n">
        <v>119.9</v>
      </c>
    </row>
    <row r="186" customFormat="false" ht="15" hidden="false" customHeight="true" outlineLevel="0" collapsed="false">
      <c r="A186" s="40"/>
      <c r="B186" s="40"/>
      <c r="C186" s="40"/>
      <c r="D186" s="40"/>
      <c r="E186" s="40"/>
      <c r="F186" s="40"/>
      <c r="G186" s="40"/>
      <c r="H186" s="41" t="s">
        <v>522</v>
      </c>
      <c r="I186" s="41" t="n">
        <v>3</v>
      </c>
      <c r="J186" s="42" t="n">
        <v>115.5</v>
      </c>
    </row>
    <row r="187" customFormat="false" ht="15" hidden="false" customHeight="true" outlineLevel="0" collapsed="false">
      <c r="A187" s="40"/>
      <c r="B187" s="40"/>
      <c r="C187" s="40"/>
      <c r="D187" s="40"/>
      <c r="E187" s="40"/>
      <c r="F187" s="40"/>
      <c r="G187" s="40"/>
      <c r="H187" s="41" t="s">
        <v>523</v>
      </c>
      <c r="I187" s="41" t="n">
        <v>1</v>
      </c>
      <c r="J187" s="42" t="n">
        <v>69</v>
      </c>
    </row>
    <row r="188" customFormat="false" ht="15" hidden="false" customHeight="true" outlineLevel="0" collapsed="false">
      <c r="A188" s="40"/>
      <c r="B188" s="40"/>
      <c r="C188" s="40"/>
      <c r="D188" s="40"/>
      <c r="E188" s="40"/>
      <c r="F188" s="40"/>
      <c r="G188" s="40"/>
      <c r="H188" s="41" t="s">
        <v>524</v>
      </c>
      <c r="I188" s="41" t="n">
        <v>1</v>
      </c>
      <c r="J188" s="42" t="n">
        <v>28</v>
      </c>
    </row>
    <row r="189" customFormat="false" ht="15" hidden="false" customHeight="true" outlineLevel="0" collapsed="false">
      <c r="A189" s="38" t="n">
        <v>4</v>
      </c>
      <c r="B189" s="38" t="s">
        <v>525</v>
      </c>
      <c r="C189" s="38" t="s">
        <v>461</v>
      </c>
      <c r="D189" s="38" t="s">
        <v>526</v>
      </c>
      <c r="E189" s="38" t="s">
        <v>159</v>
      </c>
      <c r="F189" s="38" t="s">
        <v>527</v>
      </c>
      <c r="G189" s="38" t="s">
        <v>249</v>
      </c>
      <c r="H189" s="38" t="s">
        <v>250</v>
      </c>
      <c r="I189" s="38"/>
      <c r="J189" s="39" t="n">
        <v>222.3</v>
      </c>
    </row>
    <row r="190" customFormat="false" ht="15" hidden="false" customHeight="true" outlineLevel="0" collapsed="false">
      <c r="A190" s="40"/>
      <c r="B190" s="40"/>
      <c r="C190" s="40"/>
      <c r="D190" s="40"/>
      <c r="E190" s="40"/>
      <c r="F190" s="40"/>
      <c r="G190" s="40"/>
      <c r="H190" s="41" t="s">
        <v>522</v>
      </c>
      <c r="I190" s="41" t="n">
        <v>1</v>
      </c>
      <c r="J190" s="42" t="n">
        <v>28</v>
      </c>
    </row>
    <row r="191" customFormat="false" ht="15" hidden="false" customHeight="true" outlineLevel="0" collapsed="false">
      <c r="A191" s="40"/>
      <c r="B191" s="40"/>
      <c r="C191" s="40"/>
      <c r="D191" s="40"/>
      <c r="E191" s="40"/>
      <c r="F191" s="40"/>
      <c r="G191" s="40"/>
      <c r="H191" s="41" t="s">
        <v>523</v>
      </c>
      <c r="I191" s="41" t="n">
        <v>1</v>
      </c>
      <c r="J191" s="42" t="n">
        <v>41.5</v>
      </c>
    </row>
    <row r="192" customFormat="false" ht="15" hidden="false" customHeight="true" outlineLevel="0" collapsed="false">
      <c r="A192" s="40"/>
      <c r="B192" s="40"/>
      <c r="C192" s="40"/>
      <c r="D192" s="40"/>
      <c r="E192" s="40"/>
      <c r="F192" s="40"/>
      <c r="G192" s="40"/>
      <c r="H192" s="41" t="s">
        <v>397</v>
      </c>
      <c r="I192" s="41" t="n">
        <v>1</v>
      </c>
      <c r="J192" s="42" t="n">
        <v>32.9</v>
      </c>
    </row>
    <row r="193" customFormat="false" ht="15" hidden="false" customHeight="true" outlineLevel="0" collapsed="false">
      <c r="A193" s="40"/>
      <c r="B193" s="40"/>
      <c r="C193" s="40"/>
      <c r="D193" s="40"/>
      <c r="E193" s="40"/>
      <c r="F193" s="40"/>
      <c r="G193" s="40"/>
      <c r="H193" s="41" t="s">
        <v>521</v>
      </c>
      <c r="I193" s="41" t="n">
        <v>1</v>
      </c>
      <c r="J193" s="42" t="n">
        <v>119.9</v>
      </c>
    </row>
    <row r="194" customFormat="false" ht="15" hidden="false" customHeight="true" outlineLevel="0" collapsed="false">
      <c r="A194" s="38" t="n">
        <v>4</v>
      </c>
      <c r="B194" s="38" t="s">
        <v>528</v>
      </c>
      <c r="C194" s="38" t="s">
        <v>331</v>
      </c>
      <c r="D194" s="38"/>
      <c r="E194" s="38" t="s">
        <v>159</v>
      </c>
      <c r="F194" s="38" t="s">
        <v>344</v>
      </c>
      <c r="G194" s="38" t="s">
        <v>249</v>
      </c>
      <c r="H194" s="38" t="s">
        <v>529</v>
      </c>
      <c r="I194" s="38"/>
      <c r="J194" s="39" t="n">
        <v>295.6</v>
      </c>
    </row>
    <row r="195" customFormat="false" ht="15" hidden="false" customHeight="true" outlineLevel="0" collapsed="false">
      <c r="A195" s="40"/>
      <c r="B195" s="40"/>
      <c r="C195" s="40"/>
      <c r="D195" s="40"/>
      <c r="E195" s="40"/>
      <c r="F195" s="40"/>
      <c r="G195" s="40"/>
      <c r="H195" s="41" t="s">
        <v>530</v>
      </c>
      <c r="I195" s="41" t="n">
        <v>1</v>
      </c>
      <c r="J195" s="42" t="n">
        <v>46</v>
      </c>
    </row>
    <row r="196" customFormat="false" ht="15" hidden="false" customHeight="true" outlineLevel="0" collapsed="false">
      <c r="A196" s="40"/>
      <c r="B196" s="40"/>
      <c r="C196" s="40"/>
      <c r="D196" s="40"/>
      <c r="E196" s="40"/>
      <c r="F196" s="40"/>
      <c r="G196" s="40"/>
      <c r="H196" s="41" t="s">
        <v>521</v>
      </c>
      <c r="I196" s="41" t="n">
        <v>1</v>
      </c>
      <c r="J196" s="42" t="n">
        <v>119.9</v>
      </c>
    </row>
    <row r="197" customFormat="false" ht="15" hidden="false" customHeight="true" outlineLevel="0" collapsed="false">
      <c r="A197" s="40"/>
      <c r="B197" s="40"/>
      <c r="C197" s="40"/>
      <c r="D197" s="40"/>
      <c r="E197" s="40"/>
      <c r="F197" s="40"/>
      <c r="G197" s="40"/>
      <c r="H197" s="41" t="s">
        <v>531</v>
      </c>
      <c r="I197" s="41" t="n">
        <v>1</v>
      </c>
      <c r="J197" s="42" t="n">
        <v>38.5</v>
      </c>
    </row>
    <row r="198" customFormat="false" ht="15" hidden="false" customHeight="true" outlineLevel="0" collapsed="false">
      <c r="A198" s="40"/>
      <c r="B198" s="40"/>
      <c r="C198" s="40"/>
      <c r="D198" s="40"/>
      <c r="E198" s="40"/>
      <c r="F198" s="40"/>
      <c r="G198" s="40"/>
      <c r="H198" s="41" t="s">
        <v>532</v>
      </c>
      <c r="I198" s="41" t="n">
        <v>1</v>
      </c>
      <c r="J198" s="42" t="n">
        <v>24.7</v>
      </c>
    </row>
    <row r="199" customFormat="false" ht="15" hidden="false" customHeight="true" outlineLevel="0" collapsed="false">
      <c r="A199" s="40"/>
      <c r="B199" s="40"/>
      <c r="C199" s="40"/>
      <c r="D199" s="40"/>
      <c r="E199" s="40"/>
      <c r="F199" s="40"/>
      <c r="G199" s="40"/>
      <c r="H199" s="41" t="s">
        <v>522</v>
      </c>
      <c r="I199" s="41" t="n">
        <v>1</v>
      </c>
      <c r="J199" s="42" t="n">
        <v>28</v>
      </c>
    </row>
    <row r="200" customFormat="false" ht="15" hidden="false" customHeight="true" outlineLevel="0" collapsed="false">
      <c r="A200" s="40"/>
      <c r="B200" s="40"/>
      <c r="C200" s="40"/>
      <c r="D200" s="40"/>
      <c r="E200" s="40"/>
      <c r="F200" s="40"/>
      <c r="G200" s="40"/>
      <c r="H200" s="41" t="s">
        <v>509</v>
      </c>
      <c r="I200" s="41"/>
      <c r="J200" s="42" t="n">
        <v>38.5</v>
      </c>
    </row>
    <row r="201" customFormat="false" ht="15" hidden="false" customHeight="true" outlineLevel="0" collapsed="false">
      <c r="A201" s="38" t="n">
        <v>4</v>
      </c>
      <c r="B201" s="38" t="s">
        <v>533</v>
      </c>
      <c r="C201" s="38" t="s">
        <v>331</v>
      </c>
      <c r="D201" s="38"/>
      <c r="E201" s="38" t="s">
        <v>159</v>
      </c>
      <c r="F201" s="38" t="s">
        <v>534</v>
      </c>
      <c r="G201" s="38" t="s">
        <v>256</v>
      </c>
      <c r="H201" s="38" t="s">
        <v>334</v>
      </c>
      <c r="I201" s="38"/>
      <c r="J201" s="39" t="n">
        <v>275.85</v>
      </c>
    </row>
    <row r="202" customFormat="false" ht="15" hidden="false" customHeight="true" outlineLevel="0" collapsed="false">
      <c r="A202" s="40"/>
      <c r="B202" s="40"/>
      <c r="C202" s="40"/>
      <c r="D202" s="40"/>
      <c r="E202" s="40"/>
      <c r="F202" s="40"/>
      <c r="G202" s="40"/>
      <c r="H202" s="41" t="s">
        <v>397</v>
      </c>
      <c r="I202" s="41" t="n">
        <v>1</v>
      </c>
      <c r="J202" s="42" t="n">
        <v>39</v>
      </c>
    </row>
    <row r="203" customFormat="false" ht="15" hidden="false" customHeight="true" outlineLevel="0" collapsed="false">
      <c r="A203" s="40"/>
      <c r="B203" s="40"/>
      <c r="C203" s="40"/>
      <c r="D203" s="40"/>
      <c r="E203" s="40"/>
      <c r="F203" s="40"/>
      <c r="G203" s="40"/>
      <c r="H203" s="41" t="s">
        <v>523</v>
      </c>
      <c r="I203" s="41" t="n">
        <v>1</v>
      </c>
      <c r="J203" s="42" t="n">
        <v>33.1</v>
      </c>
    </row>
    <row r="204" customFormat="false" ht="15" hidden="false" customHeight="true" outlineLevel="0" collapsed="false">
      <c r="A204" s="40"/>
      <c r="B204" s="40"/>
      <c r="C204" s="40"/>
      <c r="D204" s="40"/>
      <c r="E204" s="40"/>
      <c r="F204" s="40"/>
      <c r="G204" s="40"/>
      <c r="H204" s="41" t="s">
        <v>535</v>
      </c>
      <c r="I204" s="41" t="n">
        <v>1</v>
      </c>
      <c r="J204" s="42" t="n">
        <v>44</v>
      </c>
    </row>
    <row r="205" customFormat="false" ht="15" hidden="false" customHeight="true" outlineLevel="0" collapsed="false">
      <c r="A205" s="40"/>
      <c r="B205" s="40"/>
      <c r="C205" s="40"/>
      <c r="D205" s="40"/>
      <c r="E205" s="40"/>
      <c r="F205" s="40"/>
      <c r="G205" s="40"/>
      <c r="H205" s="41" t="s">
        <v>320</v>
      </c>
      <c r="I205" s="41" t="n">
        <v>1</v>
      </c>
      <c r="J205" s="42" t="n">
        <v>11.85</v>
      </c>
    </row>
    <row r="206" customFormat="false" ht="15" hidden="false" customHeight="true" outlineLevel="0" collapsed="false">
      <c r="A206" s="40"/>
      <c r="B206" s="40"/>
      <c r="C206" s="40"/>
      <c r="D206" s="40"/>
      <c r="E206" s="40"/>
      <c r="F206" s="40"/>
      <c r="G206" s="40"/>
      <c r="H206" s="41" t="s">
        <v>522</v>
      </c>
      <c r="I206" s="41" t="n">
        <v>1</v>
      </c>
      <c r="J206" s="42" t="n">
        <v>28</v>
      </c>
    </row>
    <row r="207" customFormat="false" ht="15" hidden="false" customHeight="true" outlineLevel="0" collapsed="false">
      <c r="A207" s="40"/>
      <c r="B207" s="40"/>
      <c r="C207" s="40"/>
      <c r="D207" s="40"/>
      <c r="E207" s="40"/>
      <c r="F207" s="40"/>
      <c r="G207" s="40"/>
      <c r="H207" s="41" t="s">
        <v>521</v>
      </c>
      <c r="I207" s="41" t="n">
        <v>1</v>
      </c>
      <c r="J207" s="42" t="n">
        <v>119.9</v>
      </c>
    </row>
    <row r="208" customFormat="false" ht="15" hidden="false" customHeight="true" outlineLevel="0" collapsed="false">
      <c r="A208" s="38" t="n">
        <v>4</v>
      </c>
      <c r="B208" s="38" t="s">
        <v>536</v>
      </c>
      <c r="C208" s="38" t="s">
        <v>331</v>
      </c>
      <c r="D208" s="38"/>
      <c r="E208" s="38" t="s">
        <v>159</v>
      </c>
      <c r="F208" s="38" t="s">
        <v>344</v>
      </c>
      <c r="G208" s="38" t="s">
        <v>249</v>
      </c>
      <c r="H208" s="38" t="s">
        <v>334</v>
      </c>
      <c r="I208" s="38"/>
      <c r="J208" s="39" t="n">
        <v>334.7</v>
      </c>
    </row>
    <row r="209" customFormat="false" ht="15" hidden="false" customHeight="true" outlineLevel="0" collapsed="false">
      <c r="A209" s="40"/>
      <c r="B209" s="40"/>
      <c r="C209" s="40"/>
      <c r="D209" s="40"/>
      <c r="E209" s="40"/>
      <c r="F209" s="40"/>
      <c r="G209" s="40"/>
      <c r="H209" s="41" t="s">
        <v>537</v>
      </c>
      <c r="I209" s="41" t="n">
        <v>1</v>
      </c>
      <c r="J209" s="42" t="n">
        <v>168</v>
      </c>
    </row>
    <row r="210" customFormat="false" ht="15" hidden="false" customHeight="true" outlineLevel="0" collapsed="false">
      <c r="A210" s="40"/>
      <c r="B210" s="40"/>
      <c r="C210" s="40"/>
      <c r="D210" s="40"/>
      <c r="E210" s="40"/>
      <c r="F210" s="40"/>
      <c r="G210" s="40"/>
      <c r="H210" s="41" t="s">
        <v>538</v>
      </c>
      <c r="I210" s="41" t="n">
        <v>1</v>
      </c>
      <c r="J210" s="42" t="n">
        <v>18.8</v>
      </c>
    </row>
    <row r="211" customFormat="false" ht="15" hidden="false" customHeight="true" outlineLevel="0" collapsed="false">
      <c r="A211" s="40"/>
      <c r="B211" s="40"/>
      <c r="C211" s="40"/>
      <c r="D211" s="40"/>
      <c r="E211" s="40"/>
      <c r="F211" s="40"/>
      <c r="G211" s="40"/>
      <c r="H211" s="41" t="s">
        <v>521</v>
      </c>
      <c r="I211" s="41" t="n">
        <v>1</v>
      </c>
      <c r="J211" s="42" t="n">
        <v>119.9</v>
      </c>
    </row>
    <row r="212" customFormat="false" ht="15" hidden="false" customHeight="true" outlineLevel="0" collapsed="false">
      <c r="A212" s="40"/>
      <c r="B212" s="40"/>
      <c r="C212" s="40"/>
      <c r="D212" s="40"/>
      <c r="E212" s="40"/>
      <c r="F212" s="40"/>
      <c r="G212" s="40"/>
      <c r="H212" s="41" t="s">
        <v>522</v>
      </c>
      <c r="I212" s="41" t="n">
        <v>1</v>
      </c>
      <c r="J212" s="42" t="n">
        <v>28</v>
      </c>
    </row>
    <row r="213" customFormat="false" ht="15" hidden="false" customHeight="true" outlineLevel="0" collapsed="false">
      <c r="A213" s="38" t="n">
        <v>4</v>
      </c>
      <c r="B213" s="38" t="s">
        <v>539</v>
      </c>
      <c r="C213" s="38" t="s">
        <v>269</v>
      </c>
      <c r="D213" s="38" t="s">
        <v>540</v>
      </c>
      <c r="E213" s="38" t="s">
        <v>159</v>
      </c>
      <c r="F213" s="38" t="s">
        <v>541</v>
      </c>
      <c r="G213" s="38" t="s">
        <v>249</v>
      </c>
      <c r="H213" s="38" t="s">
        <v>250</v>
      </c>
      <c r="I213" s="38"/>
      <c r="J213" s="39" t="n">
        <v>28</v>
      </c>
    </row>
    <row r="214" customFormat="false" ht="15" hidden="false" customHeight="true" outlineLevel="0" collapsed="false">
      <c r="A214" s="40"/>
      <c r="B214" s="40"/>
      <c r="C214" s="40"/>
      <c r="D214" s="40"/>
      <c r="E214" s="40"/>
      <c r="F214" s="40"/>
      <c r="G214" s="40"/>
      <c r="H214" s="41" t="s">
        <v>522</v>
      </c>
      <c r="I214" s="41" t="n">
        <v>1</v>
      </c>
      <c r="J214" s="42" t="n">
        <v>28</v>
      </c>
    </row>
    <row r="215" customFormat="false" ht="15" hidden="false" customHeight="true" outlineLevel="0" collapsed="false">
      <c r="A215" s="38" t="n">
        <v>4</v>
      </c>
      <c r="B215" s="38" t="s">
        <v>542</v>
      </c>
      <c r="C215" s="38" t="s">
        <v>331</v>
      </c>
      <c r="D215" s="38"/>
      <c r="E215" s="38" t="s">
        <v>159</v>
      </c>
      <c r="F215" s="38" t="s">
        <v>543</v>
      </c>
      <c r="G215" s="38" t="s">
        <v>256</v>
      </c>
      <c r="H215" s="38" t="s">
        <v>544</v>
      </c>
      <c r="I215" s="38"/>
      <c r="J215" s="39" t="n">
        <v>650.4</v>
      </c>
    </row>
    <row r="216" customFormat="false" ht="15" hidden="false" customHeight="true" outlineLevel="0" collapsed="false">
      <c r="A216" s="40"/>
      <c r="B216" s="40"/>
      <c r="C216" s="40"/>
      <c r="D216" s="40"/>
      <c r="E216" s="40"/>
      <c r="F216" s="40"/>
      <c r="G216" s="40"/>
      <c r="H216" s="41" t="s">
        <v>521</v>
      </c>
      <c r="I216" s="41" t="n">
        <v>1</v>
      </c>
      <c r="J216" s="42" t="n">
        <v>119.9</v>
      </c>
    </row>
    <row r="217" customFormat="false" ht="15" hidden="false" customHeight="true" outlineLevel="0" collapsed="false">
      <c r="A217" s="40"/>
      <c r="B217" s="40"/>
      <c r="C217" s="40"/>
      <c r="D217" s="40"/>
      <c r="E217" s="40"/>
      <c r="F217" s="40"/>
      <c r="G217" s="40"/>
      <c r="H217" s="41" t="s">
        <v>545</v>
      </c>
      <c r="I217" s="41" t="n">
        <v>1</v>
      </c>
      <c r="J217" s="42" t="n">
        <v>530.5</v>
      </c>
    </row>
    <row r="218" customFormat="false" ht="15" hidden="false" customHeight="true" outlineLevel="0" collapsed="false">
      <c r="A218" s="38" t="n">
        <v>4</v>
      </c>
      <c r="B218" s="38" t="s">
        <v>546</v>
      </c>
      <c r="C218" s="38" t="s">
        <v>71</v>
      </c>
      <c r="D218" s="38" t="s">
        <v>547</v>
      </c>
      <c r="E218" s="38" t="s">
        <v>159</v>
      </c>
      <c r="F218" s="38" t="s">
        <v>548</v>
      </c>
      <c r="G218" s="38" t="s">
        <v>256</v>
      </c>
      <c r="H218" s="38" t="s">
        <v>250</v>
      </c>
      <c r="I218" s="38"/>
      <c r="J218" s="39" t="n">
        <v>265.4</v>
      </c>
    </row>
    <row r="219" customFormat="false" ht="15" hidden="false" customHeight="true" outlineLevel="0" collapsed="false">
      <c r="A219" s="40"/>
      <c r="B219" s="40"/>
      <c r="C219" s="40"/>
      <c r="D219" s="40"/>
      <c r="E219" s="40"/>
      <c r="F219" s="40"/>
      <c r="G219" s="40"/>
      <c r="H219" s="41" t="s">
        <v>372</v>
      </c>
      <c r="I219" s="41" t="n">
        <v>1</v>
      </c>
      <c r="J219" s="42" t="n">
        <v>47.5</v>
      </c>
    </row>
    <row r="220" customFormat="false" ht="15" hidden="false" customHeight="true" outlineLevel="0" collapsed="false">
      <c r="A220" s="40"/>
      <c r="B220" s="40"/>
      <c r="C220" s="40"/>
      <c r="D220" s="40"/>
      <c r="E220" s="40"/>
      <c r="F220" s="40"/>
      <c r="G220" s="40"/>
      <c r="H220" s="41" t="s">
        <v>549</v>
      </c>
      <c r="I220" s="41" t="n">
        <v>1</v>
      </c>
      <c r="J220" s="42" t="n">
        <v>36.9</v>
      </c>
    </row>
    <row r="221" customFormat="false" ht="15" hidden="false" customHeight="true" outlineLevel="0" collapsed="false">
      <c r="A221" s="40"/>
      <c r="B221" s="40"/>
      <c r="C221" s="40"/>
      <c r="D221" s="40"/>
      <c r="E221" s="40"/>
      <c r="F221" s="40"/>
      <c r="G221" s="40"/>
      <c r="H221" s="41" t="s">
        <v>523</v>
      </c>
      <c r="I221" s="41" t="n">
        <v>1</v>
      </c>
      <c r="J221" s="42" t="n">
        <v>33.1</v>
      </c>
    </row>
    <row r="222" customFormat="false" ht="15" hidden="false" customHeight="true" outlineLevel="0" collapsed="false">
      <c r="A222" s="40"/>
      <c r="B222" s="40"/>
      <c r="C222" s="40"/>
      <c r="D222" s="40"/>
      <c r="E222" s="40"/>
      <c r="F222" s="40"/>
      <c r="G222" s="40"/>
      <c r="H222" s="41" t="s">
        <v>521</v>
      </c>
      <c r="I222" s="41" t="n">
        <v>1</v>
      </c>
      <c r="J222" s="42" t="n">
        <v>119.9</v>
      </c>
    </row>
    <row r="223" customFormat="false" ht="15" hidden="false" customHeight="true" outlineLevel="0" collapsed="false">
      <c r="A223" s="40"/>
      <c r="B223" s="40"/>
      <c r="C223" s="40"/>
      <c r="D223" s="40"/>
      <c r="E223" s="40"/>
      <c r="F223" s="40"/>
      <c r="G223" s="40"/>
      <c r="H223" s="41" t="s">
        <v>522</v>
      </c>
      <c r="I223" s="41" t="n">
        <v>1</v>
      </c>
      <c r="J223" s="42" t="n">
        <v>28</v>
      </c>
    </row>
    <row r="224" customFormat="false" ht="15" hidden="false" customHeight="true" outlineLevel="0" collapsed="false">
      <c r="A224" s="38" t="n">
        <v>4</v>
      </c>
      <c r="B224" s="38" t="s">
        <v>550</v>
      </c>
      <c r="C224" s="38" t="s">
        <v>57</v>
      </c>
      <c r="D224" s="38" t="s">
        <v>551</v>
      </c>
      <c r="E224" s="38" t="s">
        <v>159</v>
      </c>
      <c r="F224" s="38" t="s">
        <v>552</v>
      </c>
      <c r="G224" s="38" t="s">
        <v>256</v>
      </c>
      <c r="H224" s="38" t="s">
        <v>250</v>
      </c>
      <c r="I224" s="38"/>
      <c r="J224" s="39" t="n">
        <v>53.55</v>
      </c>
    </row>
    <row r="225" customFormat="false" ht="15" hidden="false" customHeight="true" outlineLevel="0" collapsed="false">
      <c r="A225" s="40"/>
      <c r="B225" s="40"/>
      <c r="C225" s="40"/>
      <c r="D225" s="40"/>
      <c r="E225" s="40"/>
      <c r="F225" s="40"/>
      <c r="G225" s="40"/>
      <c r="H225" s="41" t="s">
        <v>553</v>
      </c>
      <c r="I225" s="41" t="n">
        <v>1</v>
      </c>
      <c r="J225" s="42" t="n">
        <v>29.1</v>
      </c>
    </row>
    <row r="226" customFormat="false" ht="15" hidden="false" customHeight="true" outlineLevel="0" collapsed="false">
      <c r="A226" s="40"/>
      <c r="B226" s="40"/>
      <c r="C226" s="40"/>
      <c r="D226" s="40"/>
      <c r="E226" s="40"/>
      <c r="F226" s="40"/>
      <c r="G226" s="40"/>
      <c r="H226" s="41" t="s">
        <v>397</v>
      </c>
      <c r="I226" s="41" t="n">
        <v>1</v>
      </c>
      <c r="J226" s="42" t="n">
        <v>39</v>
      </c>
    </row>
    <row r="227" customFormat="false" ht="15" hidden="false" customHeight="true" outlineLevel="0" collapsed="false">
      <c r="A227" s="40"/>
      <c r="B227" s="40"/>
      <c r="C227" s="40"/>
      <c r="D227" s="40"/>
      <c r="E227" s="40"/>
      <c r="F227" s="40"/>
      <c r="G227" s="40"/>
      <c r="H227" s="41" t="s">
        <v>554</v>
      </c>
      <c r="I227" s="41"/>
      <c r="J227" s="42" t="n">
        <v>-14.55</v>
      </c>
    </row>
    <row r="228" customFormat="false" ht="15" hidden="false" customHeight="true" outlineLevel="0" collapsed="false">
      <c r="A228" s="38" t="n">
        <v>4</v>
      </c>
      <c r="B228" s="38" t="s">
        <v>555</v>
      </c>
      <c r="C228" s="38" t="s">
        <v>71</v>
      </c>
      <c r="D228" s="38" t="s">
        <v>556</v>
      </c>
      <c r="E228" s="38" t="s">
        <v>159</v>
      </c>
      <c r="F228" s="38" t="s">
        <v>557</v>
      </c>
      <c r="G228" s="38" t="s">
        <v>256</v>
      </c>
      <c r="H228" s="38" t="s">
        <v>250</v>
      </c>
      <c r="I228" s="38"/>
      <c r="J228" s="39" t="n">
        <v>176.8</v>
      </c>
    </row>
    <row r="229" customFormat="false" ht="15" hidden="false" customHeight="true" outlineLevel="0" collapsed="false">
      <c r="A229" s="40"/>
      <c r="B229" s="40"/>
      <c r="C229" s="40"/>
      <c r="D229" s="40"/>
      <c r="E229" s="40"/>
      <c r="F229" s="40"/>
      <c r="G229" s="40"/>
      <c r="H229" s="41" t="s">
        <v>521</v>
      </c>
      <c r="I229" s="41" t="n">
        <v>1</v>
      </c>
      <c r="J229" s="42" t="n">
        <v>119.9</v>
      </c>
    </row>
    <row r="230" customFormat="false" ht="15" hidden="false" customHeight="true" outlineLevel="0" collapsed="false">
      <c r="A230" s="40"/>
      <c r="B230" s="40"/>
      <c r="C230" s="40"/>
      <c r="D230" s="40"/>
      <c r="E230" s="40"/>
      <c r="F230" s="40"/>
      <c r="G230" s="40"/>
      <c r="H230" s="41" t="s">
        <v>558</v>
      </c>
      <c r="I230" s="41" t="n">
        <v>1</v>
      </c>
      <c r="J230" s="42" t="n">
        <v>36</v>
      </c>
    </row>
    <row r="231" customFormat="false" ht="15" hidden="false" customHeight="true" outlineLevel="0" collapsed="false">
      <c r="A231" s="40"/>
      <c r="B231" s="40"/>
      <c r="C231" s="40"/>
      <c r="D231" s="40"/>
      <c r="E231" s="40"/>
      <c r="F231" s="40"/>
      <c r="G231" s="40"/>
      <c r="H231" s="41" t="s">
        <v>559</v>
      </c>
      <c r="I231" s="41" t="n">
        <v>1</v>
      </c>
      <c r="J231" s="42" t="n">
        <v>20.9</v>
      </c>
    </row>
    <row r="232" customFormat="false" ht="15" hidden="false" customHeight="true" outlineLevel="0" collapsed="false">
      <c r="A232" s="38" t="n">
        <v>4</v>
      </c>
      <c r="B232" s="38" t="s">
        <v>560</v>
      </c>
      <c r="C232" s="38" t="s">
        <v>331</v>
      </c>
      <c r="D232" s="38"/>
      <c r="E232" s="38" t="s">
        <v>159</v>
      </c>
      <c r="F232" s="38" t="s">
        <v>561</v>
      </c>
      <c r="G232" s="38" t="s">
        <v>256</v>
      </c>
      <c r="H232" s="38" t="s">
        <v>562</v>
      </c>
      <c r="I232" s="38"/>
      <c r="J232" s="39" t="n">
        <v>179.05</v>
      </c>
    </row>
    <row r="233" customFormat="false" ht="15" hidden="false" customHeight="true" outlineLevel="0" collapsed="false">
      <c r="A233" s="40"/>
      <c r="B233" s="40"/>
      <c r="C233" s="40"/>
      <c r="D233" s="40"/>
      <c r="E233" s="40"/>
      <c r="F233" s="40"/>
      <c r="G233" s="40"/>
      <c r="H233" s="41" t="s">
        <v>464</v>
      </c>
      <c r="I233" s="41" t="n">
        <v>1</v>
      </c>
      <c r="J233" s="42" t="n">
        <v>12.25</v>
      </c>
    </row>
    <row r="234" customFormat="false" ht="15" hidden="false" customHeight="true" outlineLevel="0" collapsed="false">
      <c r="A234" s="40"/>
      <c r="B234" s="40"/>
      <c r="C234" s="40"/>
      <c r="D234" s="40"/>
      <c r="E234" s="40"/>
      <c r="F234" s="40"/>
      <c r="G234" s="40"/>
      <c r="H234" s="41" t="s">
        <v>563</v>
      </c>
      <c r="I234" s="41" t="n">
        <v>1</v>
      </c>
      <c r="J234" s="42" t="n">
        <v>24</v>
      </c>
    </row>
    <row r="235" customFormat="false" ht="15" hidden="false" customHeight="true" outlineLevel="0" collapsed="false">
      <c r="A235" s="40"/>
      <c r="B235" s="40"/>
      <c r="C235" s="40"/>
      <c r="D235" s="40"/>
      <c r="E235" s="40"/>
      <c r="F235" s="40"/>
      <c r="G235" s="40"/>
      <c r="H235" s="41" t="s">
        <v>564</v>
      </c>
      <c r="I235" s="41" t="n">
        <v>1</v>
      </c>
      <c r="J235" s="42" t="n">
        <v>22.9</v>
      </c>
    </row>
    <row r="236" customFormat="false" ht="15" hidden="false" customHeight="true" outlineLevel="0" collapsed="false">
      <c r="A236" s="40"/>
      <c r="B236" s="40"/>
      <c r="C236" s="40"/>
      <c r="D236" s="40"/>
      <c r="E236" s="40"/>
      <c r="F236" s="40"/>
      <c r="G236" s="40"/>
      <c r="H236" s="41" t="s">
        <v>521</v>
      </c>
      <c r="I236" s="41" t="n">
        <v>1</v>
      </c>
      <c r="J236" s="42" t="n">
        <v>119.9</v>
      </c>
    </row>
    <row r="237" customFormat="false" ht="15" hidden="false" customHeight="true" outlineLevel="0" collapsed="false">
      <c r="A237" s="38" t="n">
        <v>4</v>
      </c>
      <c r="B237" s="38" t="s">
        <v>565</v>
      </c>
      <c r="C237" s="38" t="s">
        <v>269</v>
      </c>
      <c r="D237" s="38" t="s">
        <v>566</v>
      </c>
      <c r="E237" s="38" t="s">
        <v>159</v>
      </c>
      <c r="F237" s="38" t="s">
        <v>567</v>
      </c>
      <c r="G237" s="38" t="s">
        <v>256</v>
      </c>
      <c r="H237" s="38" t="s">
        <v>250</v>
      </c>
      <c r="I237" s="38"/>
      <c r="J237" s="39" t="n">
        <v>207.9</v>
      </c>
    </row>
    <row r="238" customFormat="false" ht="15" hidden="false" customHeight="true" outlineLevel="0" collapsed="false">
      <c r="A238" s="40"/>
      <c r="B238" s="40"/>
      <c r="C238" s="40"/>
      <c r="D238" s="40"/>
      <c r="E238" s="40"/>
      <c r="F238" s="40"/>
      <c r="G238" s="40"/>
      <c r="H238" s="41" t="s">
        <v>521</v>
      </c>
      <c r="I238" s="41" t="n">
        <v>1</v>
      </c>
      <c r="J238" s="42" t="n">
        <v>119.9</v>
      </c>
    </row>
    <row r="239" customFormat="false" ht="15" hidden="false" customHeight="true" outlineLevel="0" collapsed="false">
      <c r="A239" s="40"/>
      <c r="B239" s="40"/>
      <c r="C239" s="40"/>
      <c r="D239" s="40"/>
      <c r="E239" s="40"/>
      <c r="F239" s="40"/>
      <c r="G239" s="40"/>
      <c r="H239" s="41" t="s">
        <v>372</v>
      </c>
      <c r="I239" s="41" t="n">
        <v>6</v>
      </c>
      <c r="J239" s="42" t="n">
        <v>60</v>
      </c>
    </row>
    <row r="240" customFormat="false" ht="15" hidden="false" customHeight="true" outlineLevel="0" collapsed="false">
      <c r="A240" s="40"/>
      <c r="B240" s="40"/>
      <c r="C240" s="40"/>
      <c r="D240" s="40"/>
      <c r="E240" s="40"/>
      <c r="F240" s="40"/>
      <c r="G240" s="40"/>
      <c r="H240" s="41" t="s">
        <v>522</v>
      </c>
      <c r="I240" s="41" t="n">
        <v>1</v>
      </c>
      <c r="J240" s="42" t="n">
        <v>28</v>
      </c>
    </row>
    <row r="241" customFormat="false" ht="15" hidden="false" customHeight="true" outlineLevel="0" collapsed="false">
      <c r="A241" s="38" t="n">
        <v>4</v>
      </c>
      <c r="B241" s="38" t="s">
        <v>568</v>
      </c>
      <c r="C241" s="38" t="s">
        <v>66</v>
      </c>
      <c r="D241" s="38" t="s">
        <v>569</v>
      </c>
      <c r="E241" s="38" t="s">
        <v>159</v>
      </c>
      <c r="F241" s="38" t="s">
        <v>570</v>
      </c>
      <c r="G241" s="38" t="s">
        <v>256</v>
      </c>
      <c r="H241" s="38" t="s">
        <v>250</v>
      </c>
      <c r="I241" s="38"/>
      <c r="J241" s="39" t="n">
        <v>244.9</v>
      </c>
    </row>
    <row r="242" customFormat="false" ht="15" hidden="false" customHeight="true" outlineLevel="0" collapsed="false">
      <c r="A242" s="40"/>
      <c r="B242" s="40"/>
      <c r="C242" s="40"/>
      <c r="D242" s="40"/>
      <c r="E242" s="40"/>
      <c r="F242" s="40"/>
      <c r="G242" s="40"/>
      <c r="H242" s="41" t="s">
        <v>521</v>
      </c>
      <c r="I242" s="41" t="n">
        <v>1</v>
      </c>
      <c r="J242" s="42" t="n">
        <v>119.9</v>
      </c>
    </row>
    <row r="243" customFormat="false" ht="15" hidden="false" customHeight="true" outlineLevel="0" collapsed="false">
      <c r="A243" s="40"/>
      <c r="B243" s="40"/>
      <c r="C243" s="40"/>
      <c r="D243" s="40"/>
      <c r="E243" s="40"/>
      <c r="F243" s="40"/>
      <c r="G243" s="40"/>
      <c r="H243" s="41" t="s">
        <v>571</v>
      </c>
      <c r="I243" s="41" t="n">
        <v>1</v>
      </c>
      <c r="J243" s="42" t="n">
        <v>48</v>
      </c>
    </row>
    <row r="244" customFormat="false" ht="15" hidden="false" customHeight="true" outlineLevel="0" collapsed="false">
      <c r="A244" s="40"/>
      <c r="B244" s="40"/>
      <c r="C244" s="40"/>
      <c r="D244" s="40"/>
      <c r="E244" s="40"/>
      <c r="F244" s="40"/>
      <c r="G244" s="40"/>
      <c r="H244" s="41" t="s">
        <v>523</v>
      </c>
      <c r="I244" s="41" t="n">
        <v>1</v>
      </c>
      <c r="J244" s="42" t="n">
        <v>38.5</v>
      </c>
    </row>
    <row r="245" customFormat="false" ht="15" hidden="false" customHeight="true" outlineLevel="0" collapsed="false">
      <c r="A245" s="40"/>
      <c r="B245" s="40"/>
      <c r="C245" s="40"/>
      <c r="D245" s="40"/>
      <c r="E245" s="40"/>
      <c r="F245" s="40"/>
      <c r="G245" s="40"/>
      <c r="H245" s="41" t="s">
        <v>416</v>
      </c>
      <c r="I245" s="41" t="n">
        <v>1</v>
      </c>
      <c r="J245" s="42" t="n">
        <v>38.5</v>
      </c>
    </row>
    <row r="246" customFormat="false" ht="15" hidden="false" customHeight="true" outlineLevel="0" collapsed="false">
      <c r="A246" s="38" t="n">
        <v>4</v>
      </c>
      <c r="B246" s="38" t="s">
        <v>572</v>
      </c>
      <c r="C246" s="38" t="s">
        <v>269</v>
      </c>
      <c r="D246" s="38" t="s">
        <v>573</v>
      </c>
      <c r="E246" s="38" t="s">
        <v>159</v>
      </c>
      <c r="F246" s="38" t="s">
        <v>574</v>
      </c>
      <c r="G246" s="38" t="s">
        <v>256</v>
      </c>
      <c r="H246" s="38" t="s">
        <v>575</v>
      </c>
      <c r="I246" s="38"/>
      <c r="J246" s="39" t="n">
        <v>266.5</v>
      </c>
    </row>
    <row r="247" customFormat="false" ht="15" hidden="false" customHeight="true" outlineLevel="0" collapsed="false">
      <c r="A247" s="40"/>
      <c r="B247" s="40"/>
      <c r="C247" s="40"/>
      <c r="D247" s="40"/>
      <c r="E247" s="40"/>
      <c r="F247" s="40"/>
      <c r="G247" s="40"/>
      <c r="H247" s="41" t="s">
        <v>521</v>
      </c>
      <c r="I247" s="41" t="n">
        <v>1</v>
      </c>
      <c r="J247" s="42" t="n">
        <v>119.9</v>
      </c>
    </row>
    <row r="248" customFormat="false" ht="15" hidden="false" customHeight="true" outlineLevel="0" collapsed="false">
      <c r="A248" s="40"/>
      <c r="B248" s="40"/>
      <c r="C248" s="40"/>
      <c r="D248" s="40"/>
      <c r="E248" s="40"/>
      <c r="F248" s="40"/>
      <c r="G248" s="40"/>
      <c r="H248" s="41" t="s">
        <v>259</v>
      </c>
      <c r="I248" s="41" t="n">
        <v>1</v>
      </c>
      <c r="J248" s="42" t="n">
        <v>29</v>
      </c>
    </row>
    <row r="249" customFormat="false" ht="15" hidden="false" customHeight="true" outlineLevel="0" collapsed="false">
      <c r="A249" s="40"/>
      <c r="B249" s="40"/>
      <c r="C249" s="40"/>
      <c r="D249" s="40"/>
      <c r="E249" s="40"/>
      <c r="F249" s="40"/>
      <c r="G249" s="40"/>
      <c r="H249" s="41" t="s">
        <v>576</v>
      </c>
      <c r="I249" s="41" t="n">
        <v>1</v>
      </c>
      <c r="J249" s="42" t="n">
        <v>38.3</v>
      </c>
    </row>
    <row r="250" customFormat="false" ht="15" hidden="false" customHeight="true" outlineLevel="0" collapsed="false">
      <c r="A250" s="40"/>
      <c r="B250" s="40"/>
      <c r="C250" s="40"/>
      <c r="D250" s="40"/>
      <c r="E250" s="40"/>
      <c r="F250" s="40"/>
      <c r="G250" s="40"/>
      <c r="H250" s="41" t="s">
        <v>577</v>
      </c>
      <c r="I250" s="41" t="n">
        <v>2</v>
      </c>
      <c r="J250" s="42" t="n">
        <v>53.3</v>
      </c>
    </row>
    <row r="251" customFormat="false" ht="15" hidden="false" customHeight="true" outlineLevel="0" collapsed="false">
      <c r="A251" s="40"/>
      <c r="B251" s="40"/>
      <c r="C251" s="40"/>
      <c r="D251" s="40"/>
      <c r="E251" s="40"/>
      <c r="F251" s="40"/>
      <c r="G251" s="40"/>
      <c r="H251" s="41" t="s">
        <v>509</v>
      </c>
      <c r="I251" s="41"/>
      <c r="J251" s="42" t="n">
        <v>26</v>
      </c>
    </row>
    <row r="252" customFormat="false" ht="15" hidden="false" customHeight="true" outlineLevel="0" collapsed="false">
      <c r="A252" s="38" t="n">
        <v>4</v>
      </c>
      <c r="B252" s="38" t="s">
        <v>578</v>
      </c>
      <c r="C252" s="38" t="s">
        <v>60</v>
      </c>
      <c r="D252" s="38" t="s">
        <v>579</v>
      </c>
      <c r="E252" s="38" t="s">
        <v>159</v>
      </c>
      <c r="F252" s="38" t="s">
        <v>580</v>
      </c>
      <c r="G252" s="38" t="s">
        <v>256</v>
      </c>
      <c r="H252" s="38" t="s">
        <v>250</v>
      </c>
      <c r="I252" s="38"/>
      <c r="J252" s="39" t="n">
        <v>140.5</v>
      </c>
    </row>
    <row r="253" customFormat="false" ht="15" hidden="false" customHeight="true" outlineLevel="0" collapsed="false">
      <c r="A253" s="40"/>
      <c r="B253" s="40"/>
      <c r="C253" s="40"/>
      <c r="D253" s="40"/>
      <c r="E253" s="40"/>
      <c r="F253" s="40"/>
      <c r="G253" s="40"/>
      <c r="H253" s="41" t="s">
        <v>521</v>
      </c>
      <c r="I253" s="41" t="n">
        <v>1</v>
      </c>
      <c r="J253" s="42" t="n">
        <v>119.9</v>
      </c>
    </row>
    <row r="254" customFormat="false" ht="15" hidden="false" customHeight="true" outlineLevel="0" collapsed="false">
      <c r="A254" s="40"/>
      <c r="B254" s="40"/>
      <c r="C254" s="40"/>
      <c r="D254" s="40"/>
      <c r="E254" s="40"/>
      <c r="F254" s="40"/>
      <c r="G254" s="40"/>
      <c r="H254" s="41" t="s">
        <v>581</v>
      </c>
      <c r="I254" s="41" t="n">
        <v>1</v>
      </c>
      <c r="J254" s="42" t="n">
        <v>20.6</v>
      </c>
    </row>
    <row r="255" customFormat="false" ht="15" hidden="false" customHeight="true" outlineLevel="0" collapsed="false">
      <c r="A255" s="38" t="n">
        <v>4</v>
      </c>
      <c r="B255" s="38" t="s">
        <v>582</v>
      </c>
      <c r="C255" s="38" t="s">
        <v>66</v>
      </c>
      <c r="D255" s="38" t="s">
        <v>583</v>
      </c>
      <c r="E255" s="38" t="s">
        <v>159</v>
      </c>
      <c r="F255" s="38" t="s">
        <v>584</v>
      </c>
      <c r="G255" s="38" t="s">
        <v>249</v>
      </c>
      <c r="H255" s="38" t="s">
        <v>250</v>
      </c>
      <c r="I255" s="38"/>
      <c r="J255" s="39" t="n">
        <v>28</v>
      </c>
    </row>
    <row r="256" customFormat="false" ht="15" hidden="false" customHeight="true" outlineLevel="0" collapsed="false">
      <c r="A256" s="40"/>
      <c r="B256" s="40"/>
      <c r="C256" s="40"/>
      <c r="D256" s="40"/>
      <c r="E256" s="40"/>
      <c r="F256" s="40"/>
      <c r="G256" s="40"/>
      <c r="H256" s="41" t="s">
        <v>522</v>
      </c>
      <c r="I256" s="41" t="n">
        <v>1</v>
      </c>
      <c r="J256" s="42" t="n">
        <v>28</v>
      </c>
    </row>
    <row r="257" customFormat="false" ht="15" hidden="false" customHeight="true" outlineLevel="0" collapsed="false">
      <c r="H257" s="43" t="s">
        <v>585</v>
      </c>
      <c r="J257" s="44" t="n">
        <f aca="false">J184+J189+J194+J201+J208+J213+J215+J218+J224+J228+J232+J237+J241+J246+J252+J255</f>
        <v>3701.85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12"/>
    <col collapsed="false" customWidth="true" hidden="false" outlineLevel="0" max="3" min="3" style="1" width="24"/>
    <col collapsed="false" customWidth="true" hidden="false" outlineLevel="0" max="4" min="4" style="1" width="13"/>
    <col collapsed="false" customWidth="true" hidden="false" outlineLevel="0" max="5" min="5" style="0" width="62"/>
    <col collapsed="false" customWidth="true" hidden="false" outlineLevel="0" max="6" min="6" style="0" width="16"/>
  </cols>
  <sheetData>
    <row r="1" customFormat="false" ht="15.75" hidden="false" customHeight="true" outlineLevel="0" collapsed="false">
      <c r="A1" s="34" t="s">
        <v>586</v>
      </c>
    </row>
    <row r="2" customFormat="false" ht="61.5" hidden="false" customHeight="true" outlineLevel="0" collapsed="false">
      <c r="A2" s="45" t="s">
        <v>587</v>
      </c>
      <c r="B2" s="45"/>
      <c r="C2" s="45"/>
      <c r="D2" s="45"/>
      <c r="E2" s="45"/>
      <c r="F2" s="45"/>
    </row>
    <row r="4" customFormat="false" ht="15" hidden="false" customHeight="true" outlineLevel="0" collapsed="false">
      <c r="A4" s="46" t="s">
        <v>27</v>
      </c>
      <c r="B4" s="46" t="s">
        <v>28</v>
      </c>
      <c r="C4" s="46" t="s">
        <v>588</v>
      </c>
      <c r="D4" s="46" t="s">
        <v>244</v>
      </c>
      <c r="E4" s="46" t="s">
        <v>589</v>
      </c>
      <c r="F4" s="46" t="s">
        <v>590</v>
      </c>
    </row>
    <row r="5" customFormat="false" ht="15" hidden="false" customHeight="true" outlineLevel="0" collapsed="false">
      <c r="A5" s="41" t="n">
        <v>1</v>
      </c>
      <c r="B5" s="41" t="s">
        <v>49</v>
      </c>
      <c r="C5" s="41" t="s">
        <v>175</v>
      </c>
      <c r="D5" s="42" t="n">
        <v>10</v>
      </c>
      <c r="E5" s="41" t="s">
        <v>591</v>
      </c>
      <c r="F5" s="42" t="n">
        <v>0</v>
      </c>
    </row>
    <row r="6" customFormat="false" ht="15" hidden="false" customHeight="true" outlineLevel="0" collapsed="false">
      <c r="A6" s="41" t="n">
        <v>2</v>
      </c>
      <c r="B6" s="41" t="s">
        <v>49</v>
      </c>
      <c r="C6" s="41" t="s">
        <v>175</v>
      </c>
      <c r="D6" s="42" t="n">
        <v>29</v>
      </c>
      <c r="E6" s="41" t="s">
        <v>592</v>
      </c>
      <c r="F6" s="42" t="n">
        <v>0</v>
      </c>
    </row>
    <row r="7" customFormat="false" ht="15" hidden="false" customHeight="true" outlineLevel="0" collapsed="false">
      <c r="A7" s="41" t="n">
        <v>3</v>
      </c>
      <c r="B7" s="41" t="s">
        <v>49</v>
      </c>
      <c r="C7" s="41" t="s">
        <v>175</v>
      </c>
      <c r="D7" s="42" t="n">
        <v>94</v>
      </c>
      <c r="E7" s="41" t="s">
        <v>593</v>
      </c>
      <c r="F7" s="42" t="n">
        <v>0</v>
      </c>
    </row>
    <row r="8" customFormat="false" ht="15" hidden="false" customHeight="true" outlineLevel="0" collapsed="false">
      <c r="A8" s="41" t="n">
        <v>4</v>
      </c>
      <c r="B8" s="41" t="s">
        <v>49</v>
      </c>
      <c r="C8" s="41" t="s">
        <v>175</v>
      </c>
      <c r="D8" s="42" t="n">
        <v>99</v>
      </c>
      <c r="E8" s="41" t="s">
        <v>594</v>
      </c>
      <c r="F8" s="42" t="n">
        <v>0</v>
      </c>
    </row>
    <row r="9" customFormat="false" ht="15" hidden="false" customHeight="true" outlineLevel="0" collapsed="false">
      <c r="A9" s="41" t="n">
        <v>5</v>
      </c>
      <c r="B9" s="41" t="s">
        <v>49</v>
      </c>
      <c r="C9" s="41" t="s">
        <v>175</v>
      </c>
      <c r="D9" s="42" t="n">
        <v>113</v>
      </c>
      <c r="E9" s="41" t="s">
        <v>595</v>
      </c>
      <c r="F9" s="42" t="n">
        <v>0</v>
      </c>
    </row>
    <row r="10" customFormat="false" ht="15" hidden="false" customHeight="true" outlineLevel="0" collapsed="false">
      <c r="A10" s="41" t="n">
        <v>6</v>
      </c>
      <c r="B10" s="41" t="s">
        <v>49</v>
      </c>
      <c r="C10" s="41" t="s">
        <v>175</v>
      </c>
      <c r="D10" s="42" t="n">
        <v>122.8</v>
      </c>
      <c r="E10" s="41" t="s">
        <v>596</v>
      </c>
      <c r="F10" s="42" t="n">
        <f aca="false">D10</f>
        <v>122.8</v>
      </c>
    </row>
    <row r="11" customFormat="false" ht="15" hidden="false" customHeight="true" outlineLevel="0" collapsed="false">
      <c r="A11" s="41" t="n">
        <v>7</v>
      </c>
      <c r="B11" s="41" t="s">
        <v>49</v>
      </c>
      <c r="C11" s="41" t="s">
        <v>175</v>
      </c>
      <c r="D11" s="42" t="n">
        <v>135.35</v>
      </c>
      <c r="E11" s="41" t="s">
        <v>597</v>
      </c>
      <c r="F11" s="42" t="n">
        <v>0</v>
      </c>
    </row>
    <row r="12" customFormat="false" ht="15" hidden="false" customHeight="true" outlineLevel="0" collapsed="false">
      <c r="A12" s="41" t="n">
        <v>8</v>
      </c>
      <c r="B12" s="41" t="s">
        <v>265</v>
      </c>
      <c r="C12" s="41" t="s">
        <v>175</v>
      </c>
      <c r="D12" s="42" t="n">
        <v>29</v>
      </c>
      <c r="E12" s="41" t="s">
        <v>598</v>
      </c>
      <c r="F12" s="42" t="n">
        <v>0</v>
      </c>
    </row>
    <row r="13" customFormat="false" ht="15" hidden="false" customHeight="true" outlineLevel="0" collapsed="false">
      <c r="A13" s="41" t="n">
        <v>9</v>
      </c>
      <c r="B13" s="41" t="s">
        <v>265</v>
      </c>
      <c r="C13" s="41" t="s">
        <v>175</v>
      </c>
      <c r="D13" s="42" t="n">
        <v>152.09</v>
      </c>
      <c r="E13" s="41" t="s">
        <v>599</v>
      </c>
      <c r="F13" s="42" t="n">
        <v>0</v>
      </c>
    </row>
    <row r="14" customFormat="false" ht="15" hidden="false" customHeight="true" outlineLevel="0" collapsed="false">
      <c r="A14" s="41" t="n">
        <v>10</v>
      </c>
      <c r="B14" s="41" t="s">
        <v>265</v>
      </c>
      <c r="C14" s="41" t="s">
        <v>175</v>
      </c>
      <c r="D14" s="42" t="n">
        <v>153</v>
      </c>
      <c r="E14" s="41" t="s">
        <v>600</v>
      </c>
      <c r="F14" s="42" t="n">
        <v>0</v>
      </c>
    </row>
    <row r="15" customFormat="false" ht="15" hidden="false" customHeight="true" outlineLevel="0" collapsed="false">
      <c r="A15" s="41" t="n">
        <v>11</v>
      </c>
      <c r="B15" s="41" t="s">
        <v>265</v>
      </c>
      <c r="C15" s="41" t="s">
        <v>175</v>
      </c>
      <c r="D15" s="42" t="n">
        <v>203.53</v>
      </c>
      <c r="E15" s="41" t="s">
        <v>601</v>
      </c>
      <c r="F15" s="42" t="n">
        <v>0</v>
      </c>
    </row>
    <row r="16" customFormat="false" ht="15" hidden="false" customHeight="true" outlineLevel="0" collapsed="false">
      <c r="A16" s="41" t="n">
        <v>12</v>
      </c>
      <c r="B16" s="41" t="s">
        <v>265</v>
      </c>
      <c r="C16" s="41" t="s">
        <v>175</v>
      </c>
      <c r="D16" s="42" t="n">
        <v>266.5</v>
      </c>
      <c r="E16" s="41" t="s">
        <v>602</v>
      </c>
      <c r="F16" s="42" t="n">
        <v>0</v>
      </c>
    </row>
    <row r="17" customFormat="false" ht="15" hidden="false" customHeight="true" outlineLevel="0" collapsed="false">
      <c r="A17" s="41" t="n">
        <v>13</v>
      </c>
      <c r="B17" s="41" t="s">
        <v>265</v>
      </c>
      <c r="C17" s="41" t="s">
        <v>175</v>
      </c>
      <c r="D17" s="42" t="n">
        <v>379.25</v>
      </c>
      <c r="E17" s="41" t="s">
        <v>596</v>
      </c>
      <c r="F17" s="42" t="n">
        <f aca="false">D17</f>
        <v>379.25</v>
      </c>
    </row>
    <row r="18" customFormat="false" ht="15" hidden="false" customHeight="true" outlineLevel="0" collapsed="false">
      <c r="A18" s="41" t="n">
        <v>14</v>
      </c>
      <c r="B18" s="41" t="s">
        <v>265</v>
      </c>
      <c r="C18" s="41" t="s">
        <v>175</v>
      </c>
      <c r="D18" s="42" t="n">
        <v>628</v>
      </c>
      <c r="E18" s="41" t="s">
        <v>596</v>
      </c>
      <c r="F18" s="42" t="n">
        <f aca="false">D18</f>
        <v>628</v>
      </c>
    </row>
    <row r="19" customFormat="false" ht="15" hidden="false" customHeight="true" outlineLevel="0" collapsed="false">
      <c r="A19" s="41" t="n">
        <v>15</v>
      </c>
      <c r="B19" s="41" t="s">
        <v>265</v>
      </c>
      <c r="C19" s="41" t="s">
        <v>175</v>
      </c>
      <c r="D19" s="42" t="n">
        <v>1679.05</v>
      </c>
      <c r="E19" s="41" t="s">
        <v>603</v>
      </c>
      <c r="F19" s="42" t="n">
        <v>0</v>
      </c>
    </row>
    <row r="20" customFormat="false" ht="15" hidden="false" customHeight="true" outlineLevel="0" collapsed="false">
      <c r="A20" s="41" t="n">
        <v>16</v>
      </c>
      <c r="B20" s="41" t="s">
        <v>269</v>
      </c>
      <c r="C20" s="41" t="s">
        <v>175</v>
      </c>
      <c r="D20" s="42" t="n">
        <v>56.25</v>
      </c>
      <c r="E20" s="41" t="s">
        <v>596</v>
      </c>
      <c r="F20" s="42" t="n">
        <f aca="false">D20</f>
        <v>56.25</v>
      </c>
    </row>
    <row r="21" customFormat="false" ht="15" hidden="false" customHeight="true" outlineLevel="0" collapsed="false">
      <c r="A21" s="41" t="n">
        <v>17</v>
      </c>
      <c r="B21" s="41" t="s">
        <v>269</v>
      </c>
      <c r="C21" s="41" t="s">
        <v>175</v>
      </c>
      <c r="D21" s="42" t="n">
        <v>728</v>
      </c>
      <c r="E21" s="41" t="s">
        <v>596</v>
      </c>
      <c r="F21" s="42" t="n">
        <f aca="false">D21</f>
        <v>728</v>
      </c>
    </row>
    <row r="22" customFormat="false" ht="15" hidden="false" customHeight="true" outlineLevel="0" collapsed="false">
      <c r="A22" s="41" t="n">
        <v>18</v>
      </c>
      <c r="B22" s="41" t="s">
        <v>54</v>
      </c>
      <c r="C22" s="41" t="s">
        <v>175</v>
      </c>
      <c r="D22" s="42" t="n">
        <v>144</v>
      </c>
      <c r="E22" s="41" t="s">
        <v>604</v>
      </c>
      <c r="F22" s="42" t="n">
        <v>0</v>
      </c>
    </row>
    <row r="23" customFormat="false" ht="15" hidden="false" customHeight="true" outlineLevel="0" collapsed="false">
      <c r="A23" s="41" t="n">
        <v>19</v>
      </c>
      <c r="B23" s="41" t="s">
        <v>54</v>
      </c>
      <c r="C23" s="41" t="s">
        <v>175</v>
      </c>
      <c r="D23" s="42" t="n">
        <v>372.58</v>
      </c>
      <c r="E23" s="41" t="s">
        <v>596</v>
      </c>
      <c r="F23" s="42" t="n">
        <f aca="false">D23</f>
        <v>372.58</v>
      </c>
    </row>
    <row r="24" customFormat="false" ht="15" hidden="false" customHeight="true" outlineLevel="0" collapsed="false">
      <c r="A24" s="41" t="n">
        <v>20</v>
      </c>
      <c r="B24" s="41" t="s">
        <v>57</v>
      </c>
      <c r="C24" s="41" t="s">
        <v>175</v>
      </c>
      <c r="D24" s="42" t="n">
        <v>53.55</v>
      </c>
      <c r="E24" s="41" t="s">
        <v>605</v>
      </c>
      <c r="F24" s="42" t="n">
        <v>0</v>
      </c>
    </row>
    <row r="25" customFormat="false" ht="15" hidden="false" customHeight="true" outlineLevel="0" collapsed="false">
      <c r="A25" s="41" t="n">
        <v>21</v>
      </c>
      <c r="B25" s="41" t="s">
        <v>57</v>
      </c>
      <c r="C25" s="41" t="s">
        <v>175</v>
      </c>
      <c r="D25" s="42" t="n">
        <v>84.91</v>
      </c>
      <c r="E25" s="41" t="s">
        <v>596</v>
      </c>
      <c r="F25" s="42" t="n">
        <f aca="false">D25</f>
        <v>84.91</v>
      </c>
    </row>
    <row r="26" customFormat="false" ht="15" hidden="false" customHeight="true" outlineLevel="0" collapsed="false">
      <c r="A26" s="41" t="n">
        <v>22</v>
      </c>
      <c r="B26" s="41" t="s">
        <v>57</v>
      </c>
      <c r="C26" s="41" t="s">
        <v>175</v>
      </c>
      <c r="D26" s="42" t="n">
        <v>89</v>
      </c>
      <c r="E26" s="41" t="s">
        <v>596</v>
      </c>
      <c r="F26" s="42" t="n">
        <f aca="false">D26</f>
        <v>89</v>
      </c>
    </row>
    <row r="27" customFormat="false" ht="15" hidden="false" customHeight="true" outlineLevel="0" collapsed="false">
      <c r="A27" s="41" t="n">
        <v>23</v>
      </c>
      <c r="B27" s="41" t="s">
        <v>57</v>
      </c>
      <c r="C27" s="41" t="s">
        <v>175</v>
      </c>
      <c r="D27" s="42" t="n">
        <v>253.35</v>
      </c>
      <c r="E27" s="41" t="s">
        <v>606</v>
      </c>
      <c r="F27" s="42" t="n">
        <v>0</v>
      </c>
    </row>
    <row r="28" customFormat="false" ht="15" hidden="false" customHeight="true" outlineLevel="0" collapsed="false">
      <c r="A28" s="41" t="n">
        <v>24</v>
      </c>
      <c r="B28" s="41" t="s">
        <v>57</v>
      </c>
      <c r="C28" s="41" t="s">
        <v>175</v>
      </c>
      <c r="D28" s="42" t="n">
        <v>282</v>
      </c>
      <c r="E28" s="41" t="s">
        <v>596</v>
      </c>
      <c r="F28" s="42" t="n">
        <f aca="false">D28</f>
        <v>282</v>
      </c>
    </row>
    <row r="29" customFormat="false" ht="15" hidden="false" customHeight="true" outlineLevel="0" collapsed="false">
      <c r="A29" s="41" t="n">
        <v>25</v>
      </c>
      <c r="B29" s="41" t="s">
        <v>57</v>
      </c>
      <c r="C29" s="41" t="s">
        <v>175</v>
      </c>
      <c r="D29" s="42" t="n">
        <v>321</v>
      </c>
      <c r="E29" s="41" t="s">
        <v>607</v>
      </c>
      <c r="F29" s="42" t="n">
        <v>0</v>
      </c>
    </row>
    <row r="30" customFormat="false" ht="15" hidden="false" customHeight="true" outlineLevel="0" collapsed="false">
      <c r="A30" s="41" t="n">
        <v>26</v>
      </c>
      <c r="B30" s="41" t="s">
        <v>133</v>
      </c>
      <c r="C30" s="41" t="s">
        <v>175</v>
      </c>
      <c r="D30" s="42" t="n">
        <v>46.5</v>
      </c>
      <c r="E30" s="41" t="s">
        <v>608</v>
      </c>
      <c r="F30" s="42" t="n">
        <v>0</v>
      </c>
    </row>
    <row r="31" customFormat="false" ht="15" hidden="false" customHeight="true" outlineLevel="0" collapsed="false">
      <c r="A31" s="41" t="n">
        <v>27</v>
      </c>
      <c r="B31" s="41" t="s">
        <v>60</v>
      </c>
      <c r="C31" s="41" t="s">
        <v>175</v>
      </c>
      <c r="D31" s="42" t="n">
        <v>78</v>
      </c>
      <c r="E31" s="41" t="s">
        <v>609</v>
      </c>
      <c r="F31" s="42" t="n">
        <v>0</v>
      </c>
    </row>
    <row r="32" customFormat="false" ht="15" hidden="false" customHeight="true" outlineLevel="0" collapsed="false">
      <c r="A32" s="41" t="n">
        <v>28</v>
      </c>
      <c r="B32" s="41" t="s">
        <v>60</v>
      </c>
      <c r="C32" s="41" t="s">
        <v>175</v>
      </c>
      <c r="D32" s="42" t="n">
        <v>99</v>
      </c>
      <c r="E32" s="41" t="s">
        <v>610</v>
      </c>
      <c r="F32" s="42" t="n">
        <v>0</v>
      </c>
    </row>
    <row r="33" customFormat="false" ht="15" hidden="false" customHeight="true" outlineLevel="0" collapsed="false">
      <c r="A33" s="41" t="n">
        <v>29</v>
      </c>
      <c r="B33" s="41" t="s">
        <v>60</v>
      </c>
      <c r="C33" s="41" t="s">
        <v>175</v>
      </c>
      <c r="D33" s="42" t="n">
        <v>120</v>
      </c>
      <c r="E33" s="41" t="s">
        <v>611</v>
      </c>
      <c r="F33" s="42" t="n">
        <v>0</v>
      </c>
    </row>
    <row r="34" customFormat="false" ht="15" hidden="false" customHeight="true" outlineLevel="0" collapsed="false">
      <c r="A34" s="41" t="n">
        <v>30</v>
      </c>
      <c r="B34" s="41" t="s">
        <v>60</v>
      </c>
      <c r="C34" s="41" t="s">
        <v>175</v>
      </c>
      <c r="D34" s="42" t="n">
        <v>179</v>
      </c>
      <c r="E34" s="41" t="s">
        <v>612</v>
      </c>
      <c r="F34" s="42" t="n">
        <v>0</v>
      </c>
    </row>
    <row r="35" customFormat="false" ht="15" hidden="false" customHeight="true" outlineLevel="0" collapsed="false">
      <c r="A35" s="41" t="n">
        <v>31</v>
      </c>
      <c r="B35" s="41" t="s">
        <v>63</v>
      </c>
      <c r="C35" s="41" t="s">
        <v>175</v>
      </c>
      <c r="D35" s="42" t="n">
        <v>33.9</v>
      </c>
      <c r="E35" s="41" t="s">
        <v>613</v>
      </c>
      <c r="F35" s="42" t="n">
        <v>0</v>
      </c>
    </row>
    <row r="36" customFormat="false" ht="15" hidden="false" customHeight="true" outlineLevel="0" collapsed="false">
      <c r="A36" s="41" t="n">
        <v>32</v>
      </c>
      <c r="B36" s="41" t="s">
        <v>63</v>
      </c>
      <c r="C36" s="41" t="s">
        <v>175</v>
      </c>
      <c r="D36" s="42" t="n">
        <v>142</v>
      </c>
      <c r="E36" s="41" t="s">
        <v>614</v>
      </c>
      <c r="F36" s="42" t="n">
        <v>0</v>
      </c>
    </row>
    <row r="37" customFormat="false" ht="15" hidden="false" customHeight="true" outlineLevel="0" collapsed="false">
      <c r="A37" s="41" t="n">
        <v>33</v>
      </c>
      <c r="B37" s="41" t="s">
        <v>63</v>
      </c>
      <c r="C37" s="41" t="s">
        <v>175</v>
      </c>
      <c r="D37" s="42" t="n">
        <v>275.85</v>
      </c>
      <c r="E37" s="41" t="s">
        <v>615</v>
      </c>
      <c r="F37" s="42" t="n">
        <v>0</v>
      </c>
    </row>
    <row r="38" customFormat="false" ht="15" hidden="false" customHeight="true" outlineLevel="0" collapsed="false">
      <c r="A38" s="41" t="n">
        <v>34</v>
      </c>
      <c r="B38" s="41" t="s">
        <v>66</v>
      </c>
      <c r="C38" s="41" t="s">
        <v>175</v>
      </c>
      <c r="D38" s="42" t="n">
        <v>56</v>
      </c>
      <c r="E38" s="41" t="s">
        <v>616</v>
      </c>
      <c r="F38" s="42" t="n">
        <v>0</v>
      </c>
    </row>
    <row r="39" customFormat="false" ht="15" hidden="false" customHeight="true" outlineLevel="0" collapsed="false">
      <c r="A39" s="41" t="n">
        <v>35</v>
      </c>
      <c r="B39" s="41" t="s">
        <v>66</v>
      </c>
      <c r="C39" s="41" t="s">
        <v>175</v>
      </c>
      <c r="D39" s="42" t="n">
        <v>244.9</v>
      </c>
      <c r="E39" s="41" t="s">
        <v>617</v>
      </c>
      <c r="F39" s="42" t="n">
        <v>0</v>
      </c>
    </row>
    <row r="40" customFormat="false" ht="15" hidden="false" customHeight="true" outlineLevel="0" collapsed="false">
      <c r="A40" s="41" t="n">
        <v>36</v>
      </c>
      <c r="B40" s="41" t="s">
        <v>66</v>
      </c>
      <c r="C40" s="41" t="s">
        <v>175</v>
      </c>
      <c r="D40" s="42" t="n">
        <v>553.15</v>
      </c>
      <c r="E40" s="41" t="s">
        <v>618</v>
      </c>
      <c r="F40" s="42" t="n">
        <v>0</v>
      </c>
    </row>
    <row r="41" customFormat="false" ht="15" hidden="false" customHeight="true" outlineLevel="0" collapsed="false">
      <c r="A41" s="41" t="n">
        <v>37</v>
      </c>
      <c r="B41" s="41" t="s">
        <v>69</v>
      </c>
      <c r="C41" s="41" t="s">
        <v>175</v>
      </c>
      <c r="D41" s="42" t="n">
        <v>65</v>
      </c>
      <c r="E41" s="41" t="s">
        <v>619</v>
      </c>
      <c r="F41" s="42" t="n">
        <v>0</v>
      </c>
    </row>
    <row r="42" customFormat="false" ht="15" hidden="false" customHeight="true" outlineLevel="0" collapsed="false">
      <c r="A42" s="41" t="n">
        <v>38</v>
      </c>
      <c r="B42" s="41" t="s">
        <v>69</v>
      </c>
      <c r="C42" s="41" t="s">
        <v>175</v>
      </c>
      <c r="D42" s="42" t="n">
        <v>380</v>
      </c>
      <c r="E42" s="41" t="s">
        <v>596</v>
      </c>
      <c r="F42" s="42" t="n">
        <f aca="false">D42</f>
        <v>380</v>
      </c>
    </row>
    <row r="43" customFormat="false" ht="15" hidden="false" customHeight="true" outlineLevel="0" collapsed="false">
      <c r="A43" s="41" t="n">
        <v>39</v>
      </c>
      <c r="B43" s="41" t="s">
        <v>322</v>
      </c>
      <c r="C43" s="41" t="s">
        <v>175</v>
      </c>
      <c r="D43" s="42" t="n">
        <v>44</v>
      </c>
      <c r="E43" s="41" t="s">
        <v>620</v>
      </c>
      <c r="F43" s="42" t="n">
        <v>0</v>
      </c>
    </row>
    <row r="44" customFormat="false" ht="15" hidden="false" customHeight="true" outlineLevel="0" collapsed="false">
      <c r="A44" s="41" t="n">
        <v>40</v>
      </c>
      <c r="B44" s="41" t="s">
        <v>322</v>
      </c>
      <c r="C44" s="41" t="s">
        <v>175</v>
      </c>
      <c r="D44" s="42" t="n">
        <v>248.46</v>
      </c>
      <c r="E44" s="41" t="s">
        <v>621</v>
      </c>
      <c r="F44" s="42" t="n">
        <v>0</v>
      </c>
    </row>
    <row r="45" customFormat="false" ht="15" hidden="false" customHeight="true" outlineLevel="0" collapsed="false">
      <c r="A45" s="41" t="n">
        <v>41</v>
      </c>
      <c r="B45" s="41" t="s">
        <v>71</v>
      </c>
      <c r="C45" s="41" t="s">
        <v>175</v>
      </c>
      <c r="D45" s="42" t="n">
        <v>55</v>
      </c>
      <c r="E45" s="41" t="s">
        <v>622</v>
      </c>
      <c r="F45" s="42" t="n">
        <v>0</v>
      </c>
    </row>
    <row r="46" customFormat="false" ht="15" hidden="false" customHeight="true" outlineLevel="0" collapsed="false">
      <c r="A46" s="41" t="n">
        <v>42</v>
      </c>
      <c r="B46" s="41" t="s">
        <v>71</v>
      </c>
      <c r="C46" s="41" t="s">
        <v>175</v>
      </c>
      <c r="D46" s="42" t="n">
        <v>176.8</v>
      </c>
      <c r="E46" s="41" t="s">
        <v>623</v>
      </c>
      <c r="F46" s="42" t="n">
        <v>0</v>
      </c>
    </row>
    <row r="47" customFormat="false" ht="15" hidden="false" customHeight="true" outlineLevel="0" collapsed="false">
      <c r="A47" s="41" t="n">
        <v>43</v>
      </c>
      <c r="B47" s="41" t="s">
        <v>71</v>
      </c>
      <c r="C47" s="41" t="s">
        <v>175</v>
      </c>
      <c r="D47" s="42" t="n">
        <v>196.21</v>
      </c>
      <c r="E47" s="41" t="s">
        <v>624</v>
      </c>
      <c r="F47" s="42" t="n">
        <v>0</v>
      </c>
    </row>
    <row r="48" customFormat="false" ht="15" hidden="false" customHeight="true" outlineLevel="0" collapsed="false">
      <c r="A48" s="41" t="n">
        <v>44</v>
      </c>
      <c r="B48" s="41" t="s">
        <v>71</v>
      </c>
      <c r="C48" s="41" t="s">
        <v>175</v>
      </c>
      <c r="D48" s="42" t="n">
        <v>265.4</v>
      </c>
      <c r="E48" s="41" t="s">
        <v>625</v>
      </c>
      <c r="F48" s="42" t="n">
        <v>0</v>
      </c>
    </row>
    <row r="49" customFormat="false" ht="15" hidden="false" customHeight="true" outlineLevel="0" collapsed="false">
      <c r="A49" s="41" t="n">
        <v>45</v>
      </c>
      <c r="B49" s="41" t="s">
        <v>71</v>
      </c>
      <c r="C49" s="41" t="s">
        <v>175</v>
      </c>
      <c r="D49" s="42" t="n">
        <v>287.5</v>
      </c>
      <c r="E49" s="41" t="s">
        <v>596</v>
      </c>
      <c r="F49" s="42" t="n">
        <f aca="false">D49</f>
        <v>287.5</v>
      </c>
    </row>
    <row r="50" customFormat="false" ht="15" hidden="false" customHeight="true" outlineLevel="0" collapsed="false">
      <c r="A50" s="41" t="n">
        <v>46</v>
      </c>
      <c r="B50" s="41" t="s">
        <v>326</v>
      </c>
      <c r="C50" s="41" t="s">
        <v>175</v>
      </c>
      <c r="D50" s="42" t="n">
        <v>24</v>
      </c>
      <c r="E50" s="41" t="s">
        <v>626</v>
      </c>
      <c r="F50" s="42" t="n">
        <v>0</v>
      </c>
    </row>
    <row r="51" customFormat="false" ht="15" hidden="false" customHeight="true" outlineLevel="0" collapsed="false">
      <c r="A51" s="41" t="n">
        <v>47</v>
      </c>
      <c r="B51" s="41" t="s">
        <v>326</v>
      </c>
      <c r="C51" s="41" t="s">
        <v>175</v>
      </c>
      <c r="D51" s="42" t="n">
        <v>62</v>
      </c>
      <c r="E51" s="41" t="s">
        <v>627</v>
      </c>
      <c r="F51" s="42" t="n">
        <v>0</v>
      </c>
    </row>
    <row r="52" customFormat="false" ht="15" hidden="false" customHeight="true" outlineLevel="0" collapsed="false">
      <c r="A52" s="41" t="n">
        <v>48</v>
      </c>
      <c r="B52" s="41" t="s">
        <v>326</v>
      </c>
      <c r="C52" s="41" t="s">
        <v>175</v>
      </c>
      <c r="D52" s="42" t="n">
        <v>82</v>
      </c>
      <c r="E52" s="41" t="s">
        <v>628</v>
      </c>
      <c r="F52" s="42" t="n">
        <v>0</v>
      </c>
    </row>
    <row r="53" customFormat="false" ht="15" hidden="false" customHeight="true" outlineLevel="0" collapsed="false">
      <c r="A53" s="41" t="n">
        <v>49</v>
      </c>
      <c r="B53" s="41" t="s">
        <v>326</v>
      </c>
      <c r="C53" s="41" t="s">
        <v>175</v>
      </c>
      <c r="D53" s="42" t="n">
        <v>97.8</v>
      </c>
      <c r="E53" s="41" t="s">
        <v>629</v>
      </c>
      <c r="F53" s="42" t="n">
        <v>0</v>
      </c>
    </row>
    <row r="54" customFormat="false" ht="15" hidden="false" customHeight="true" outlineLevel="0" collapsed="false">
      <c r="A54" s="41" t="n">
        <v>50</v>
      </c>
      <c r="B54" s="41" t="s">
        <v>326</v>
      </c>
      <c r="C54" s="41" t="s">
        <v>175</v>
      </c>
      <c r="D54" s="42" t="n">
        <v>142</v>
      </c>
      <c r="E54" s="41" t="s">
        <v>630</v>
      </c>
      <c r="F54" s="42" t="n">
        <v>0</v>
      </c>
    </row>
    <row r="55" customFormat="false" ht="15" hidden="false" customHeight="true" outlineLevel="0" collapsed="false">
      <c r="A55" s="41" t="n">
        <v>51</v>
      </c>
      <c r="B55" s="41" t="s">
        <v>326</v>
      </c>
      <c r="C55" s="41" t="s">
        <v>175</v>
      </c>
      <c r="D55" s="42" t="n">
        <v>650.4</v>
      </c>
      <c r="E55" s="41" t="s">
        <v>631</v>
      </c>
      <c r="F55" s="42" t="n">
        <v>0</v>
      </c>
    </row>
    <row r="56" customFormat="false" ht="15" hidden="false" customHeight="true" outlineLevel="0" collapsed="false">
      <c r="A56" s="41" t="n">
        <v>52</v>
      </c>
      <c r="B56" s="41" t="s">
        <v>461</v>
      </c>
      <c r="C56" s="41" t="s">
        <v>175</v>
      </c>
      <c r="D56" s="42" t="n">
        <v>398.5</v>
      </c>
      <c r="E56" s="41" t="s">
        <v>596</v>
      </c>
      <c r="F56" s="42" t="n">
        <f aca="false">D56</f>
        <v>398.5</v>
      </c>
    </row>
    <row r="57" customFormat="false" ht="15" hidden="false" customHeight="true" outlineLevel="0" collapsed="false">
      <c r="A57" s="41" t="n">
        <v>53</v>
      </c>
      <c r="B57" s="41" t="s">
        <v>77</v>
      </c>
      <c r="C57" s="41" t="s">
        <v>175</v>
      </c>
      <c r="D57" s="42" t="n">
        <v>27.3</v>
      </c>
      <c r="E57" s="41" t="s">
        <v>596</v>
      </c>
      <c r="F57" s="42" t="n">
        <f aca="false">D57</f>
        <v>27.3</v>
      </c>
    </row>
    <row r="58" customFormat="false" ht="15" hidden="false" customHeight="true" outlineLevel="0" collapsed="false">
      <c r="A58" s="41" t="n">
        <v>54</v>
      </c>
      <c r="B58" s="41" t="s">
        <v>77</v>
      </c>
      <c r="C58" s="41" t="s">
        <v>175</v>
      </c>
      <c r="D58" s="42" t="n">
        <v>148</v>
      </c>
      <c r="E58" s="41" t="s">
        <v>596</v>
      </c>
      <c r="F58" s="42" t="n">
        <f aca="false">D58</f>
        <v>148</v>
      </c>
    </row>
    <row r="59" customFormat="false" ht="15" hidden="false" customHeight="true" outlineLevel="0" collapsed="false">
      <c r="C59" s="43" t="s">
        <v>632</v>
      </c>
      <c r="D59" s="44" t="n">
        <f aca="false">SUM(D5:D58)</f>
        <v>11656.88</v>
      </c>
      <c r="E59" s="43" t="s">
        <v>590</v>
      </c>
      <c r="F59" s="44" t="n">
        <f aca="false">SUM(F5:F58)</f>
        <v>3984.09</v>
      </c>
    </row>
  </sheetData>
  <mergeCells count="1"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2026-09-30T01:52:15Z</dcterms:created>
  <dc:creator>openpyxl</dc:creator>
  <dc:description/>
  <dc:language>en-US</dc:language>
  <cp:lastModifiedBy/>
  <dcterms:modified xsi:type="dcterms:W3CDTF">2026-10-14T20:21:58Z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