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Depositos" sheetId="2" state="visible" r:id="rId4"/>
    <sheet name="Gastos" sheetId="3" state="visible" r:id="rId5"/>
    <sheet name="Nomina" sheetId="4" state="visible" r:id="rId6"/>
    <sheet name="Viatic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<sst xmlns="http://schemas.openxmlformats.org/spreadsheetml/2006/main" count="351" uniqueCount="233">
  <si>
    <t xml:space="preserve">CUADRE DE DEPÓSITOS Y GASTOS — Activación Fresko Cumbres, Monterrey (sep 2026)</t>
  </si>
  <si>
    <t xml:space="preserve">1. LO QUE ME DEPOSITARON</t>
  </si>
  <si>
    <t xml:space="preserve">Monto</t>
  </si>
  <si>
    <t xml:space="preserve">Total depósitos</t>
  </si>
  <si>
    <t xml:space="preserve">   Con comprobante</t>
  </si>
  <si>
    <t xml:space="preserve">   Sin comprobante (pedir a Aldo / Tere)</t>
  </si>
  <si>
    <t xml:space="preserve">2. EN QUÉ SE GASTÓ</t>
  </si>
  <si>
    <t xml:space="preserve">Macetas</t>
  </si>
  <si>
    <t xml:space="preserve">Mástiles</t>
  </si>
  <si>
    <t xml:space="preserve">Hospedaje</t>
  </si>
  <si>
    <t xml:space="preserve">Nómina</t>
  </si>
  <si>
    <t xml:space="preserve">Transporte</t>
  </si>
  <si>
    <t xml:space="preserve">Material y herramienta</t>
  </si>
  <si>
    <t xml:space="preserve">Hidratación del equipo (agua, hielo, bebidas) y comidas dentro de Fresko</t>
  </si>
  <si>
    <t xml:space="preserve">Nómina diaria (pestaña Nomina)</t>
  </si>
  <si>
    <t xml:space="preserve">Viáticos diarios: Uber, comidas (pestaña Viaticos)</t>
  </si>
  <si>
    <t xml:space="preserve">Gasto personal (no Fresko): bicicleta y squishys</t>
  </si>
  <si>
    <t xml:space="preserve">TOTAL GASTOS</t>
  </si>
  <si>
    <t xml:space="preserve">3. CUADRE</t>
  </si>
  <si>
    <t xml:space="preserve">Depósitos - Gastos</t>
  </si>
  <si>
    <t xml:space="preserve">4. PENDIENTES</t>
  </si>
  <si>
    <t xml:space="preserve">Cuántos</t>
  </si>
  <si>
    <t xml:space="preserve">Gastos sin monto (amarillos en Gastos)</t>
  </si>
  <si>
    <t xml:space="preserve">Depósitos sin comprobante</t>
  </si>
  <si>
    <t xml:space="preserve">Días de nómina sin capturar</t>
  </si>
  <si>
    <t xml:space="preserve">DEPÓSITOS RECIBIDOS DE ALDO / TERE / CLAUDIA</t>
  </si>
  <si>
    <t xml:space="preserve">Lista enviada por Aldo en el grupo Pop Monterrey el 28 sep. Comprobantes cruzados con capturas BBVA/Santander.</t>
  </si>
  <si>
    <t xml:space="preserve">#</t>
  </si>
  <si>
    <t xml:space="preserve">Fecha</t>
  </si>
  <si>
    <t xml:space="preserve">Quién depositó</t>
  </si>
  <si>
    <t xml:space="preserve">Concepto en el banco</t>
  </si>
  <si>
    <t xml:space="preserve">Comprobante (folio)</t>
  </si>
  <si>
    <t xml:space="preserve">¿Tengo comprobante?</t>
  </si>
  <si>
    <t xml:space="preserve">Notas</t>
  </si>
  <si>
    <t xml:space="preserve">2026-08-31</t>
  </si>
  <si>
    <t xml:space="preserve">Aldo</t>
  </si>
  <si>
    <t xml:space="preserve">taxi</t>
  </si>
  <si>
    <t xml:space="preserve">BBVA 7181151020</t>
  </si>
  <si>
    <t xml:space="preserve">Sí</t>
  </si>
  <si>
    <t xml:space="preserve">2026-09-05</t>
  </si>
  <si>
    <t xml:space="preserve">Tere</t>
  </si>
  <si>
    <t xml:space="preserve">Confirmado en estado de cuenta (Teresita Del Carmen Terrones Velez, 5-sep)</t>
  </si>
  <si>
    <t xml:space="preserve">Ya no falta pedirle el comprobante a Tere; se confirmó en tu estado de cuenta.</t>
  </si>
  <si>
    <t xml:space="preserve">2026-09-04</t>
  </si>
  <si>
    <t xml:space="preserve">mac</t>
  </si>
  <si>
    <t xml:space="preserve">BBVA 0078243194</t>
  </si>
  <si>
    <t xml:space="preserve">Macetas $43,200 + $6,800 para mástiles</t>
  </si>
  <si>
    <t xml:space="preserve">Confirmado en estado de cuenta (Mario Aldo Montenegro Esqueda, 5-sep)</t>
  </si>
  <si>
    <t xml:space="preserve">Los 10 mil de los mástiles; ya se confirmó en tu estado de cuenta.</t>
  </si>
  <si>
    <t xml:space="preserve">2026-09-09</t>
  </si>
  <si>
    <t xml:space="preserve">aldo</t>
  </si>
  <si>
    <t xml:space="preserve">BBVA 0053838352</t>
  </si>
  <si>
    <t xml:space="preserve">pago</t>
  </si>
  <si>
    <t xml:space="preserve">BBVA 0056968572</t>
  </si>
  <si>
    <t xml:space="preserve">2026-09-12</t>
  </si>
  <si>
    <t xml:space="preserve">monterewy</t>
  </si>
  <si>
    <t xml:space="preserve">BBVA 8191486766</t>
  </si>
  <si>
    <t xml:space="preserve">2026-09-13</t>
  </si>
  <si>
    <t xml:space="preserve">nom</t>
  </si>
  <si>
    <t xml:space="preserve">BBVA 8295941864</t>
  </si>
  <si>
    <t xml:space="preserve">2026-09-15</t>
  </si>
  <si>
    <t xml:space="preserve">Confirmado en estado de cuenta (Mario Aldo Montenegro Esqueda, 15-sep)</t>
  </si>
  <si>
    <t xml:space="preserve">Ya se confirmó en tu estado de cuenta.</t>
  </si>
  <si>
    <t xml:space="preserve">2026-09-17</t>
  </si>
  <si>
    <t xml:space="preserve">beto</t>
  </si>
  <si>
    <t xml:space="preserve">BBVA 8573668813</t>
  </si>
  <si>
    <t xml:space="preserve">2026-09-18</t>
  </si>
  <si>
    <t xml:space="preserve">monterrey</t>
  </si>
  <si>
    <t xml:space="preserve">BBVA 8740024681</t>
  </si>
  <si>
    <t xml:space="preserve">2026-09-19</t>
  </si>
  <si>
    <t xml:space="preserve">BBVA 8827672930</t>
  </si>
  <si>
    <t xml:space="preserve">2026-09-21</t>
  </si>
  <si>
    <t xml:space="preserve">BBVA 8916686512</t>
  </si>
  <si>
    <t xml:space="preserve">Daniel Maximiliano Morales Sanchez (a nombre de Aldo)</t>
  </si>
  <si>
    <t xml:space="preserve">ALBERTO BALDERAS de Aldo</t>
  </si>
  <si>
    <t xml:space="preserve">Santander 3864634</t>
  </si>
  <si>
    <t xml:space="preserve">Confirmado: sí se acreditó (estado de cuenta, 21-sep, $30,000). El nombre del remitente en el banco es Daniel Maximiliano Morales Sanchez, a nombre de Aldo; antes tenías anotado 'Claudia'.</t>
  </si>
  <si>
    <t xml:space="preserve">2026-09-24</t>
  </si>
  <si>
    <t xml:space="preserve">BBVA 9176305601</t>
  </si>
  <si>
    <t xml:space="preserve">2026-09-25</t>
  </si>
  <si>
    <t xml:space="preserve">BBVA 9262072334</t>
  </si>
  <si>
    <t xml:space="preserve">BBVA 9346948390</t>
  </si>
  <si>
    <t xml:space="preserve">2026-09-08</t>
  </si>
  <si>
    <t xml:space="preserve">Daniel Maximiliano Morales Sanchez</t>
  </si>
  <si>
    <t xml:space="preserve">Confirmado en estado de cuenta (Daniel Maximiliano Morales Sanchez, 8-sep)</t>
  </si>
  <si>
    <t xml:space="preserve">Alberto confirma que este depósito sí es de la activación Fresko Cumbres. por parte de Claudia</t>
  </si>
  <si>
    <t xml:space="preserve">TOTAL DEPÓSITOS</t>
  </si>
  <si>
    <t xml:space="preserve">Con comprobante</t>
  </si>
  <si>
    <t xml:space="preserve">Sin comprobante (amarillo)</t>
  </si>
  <si>
    <t xml:space="preserve">Total según la lista de Aldo: $289,350</t>
  </si>
  <si>
    <t xml:space="preserve">GASTOS DE LA ACTIVACIÓN (todo menos nómina diaria y viáticos diarios)</t>
  </si>
  <si>
    <t xml:space="preserve">Categoría</t>
  </si>
  <si>
    <t xml:space="preserve">Proveedor / Persona</t>
  </si>
  <si>
    <t xml:space="preserve">Concepto</t>
  </si>
  <si>
    <t xml:space="preserve">Comprobante</t>
  </si>
  <si>
    <t xml:space="preserve">Estatus</t>
  </si>
  <si>
    <t xml:space="preserve">Ricardo Dávila (proveedor)</t>
  </si>
  <si>
    <t xml:space="preserve">3,000 macetas</t>
  </si>
  <si>
    <t xml:space="preserve">Falta comprobante</t>
  </si>
  <si>
    <t xml:space="preserve">Monto según tu mensaje en el grupo 5 sep</t>
  </si>
  <si>
    <t xml:space="preserve">2026-09-06</t>
  </si>
  <si>
    <t xml:space="preserve">Iván / proveedores</t>
  </si>
  <si>
    <t xml:space="preserve">Material 3 mástiles (incluye 20%)</t>
  </si>
  <si>
    <t xml:space="preserve">mastil_v2_fabricacion.pdf</t>
  </si>
  <si>
    <t xml:space="preserve">Cotización</t>
  </si>
  <si>
    <t xml:space="preserve">Pagado con $6,800 sobrantes de macetas + $10,000 del 5 sep + tu dinero Alberto confirma que ese dinero se lo transfirió a Iván.</t>
  </si>
  <si>
    <t xml:space="preserve">Iván</t>
  </si>
  <si>
    <t xml:space="preserve">Mano de obra de herrería 3 mástiles</t>
  </si>
  <si>
    <t xml:space="preserve">Alberto confirma que el dinero de mástiles se lo transfirió a Iván (mismo pago que fila 6).</t>
  </si>
  <si>
    <t xml:space="preserve">2026-09-05 a 09-07</t>
  </si>
  <si>
    <t xml:space="preserve">Airbnb</t>
  </si>
  <si>
    <t xml:space="preserve">Airbnb 5 al 7 sep (104 USD)</t>
  </si>
  <si>
    <t xml:space="preserve">Cargo de tarjeta 5-sep 12:59, $1,749.50 (Airbnb * hmzmsbzebz)</t>
  </si>
  <si>
    <t xml:space="preserve">Confirmado con el estado de cuenta: cargo real de $1,749.50 (antes se había estimado $1,857 con un tipo de cambio aproximado; este es el monto exacto que cobró la tarjeta).</t>
  </si>
  <si>
    <t xml:space="preserve">2026-09-07 a 09-13</t>
  </si>
  <si>
    <t xml:space="preserve">Hospedaje 7 al 13 sep</t>
  </si>
  <si>
    <t xml:space="preserve">Mercado Pago #178194749650</t>
  </si>
  <si>
    <t xml:space="preserve">Transferencia a Patricia Carolina Martínez, 9-sep 5:15pm, $700 x 6 noches (7-13 sep).</t>
  </si>
  <si>
    <t xml:space="preserve">Patricia Carolina Martínez</t>
  </si>
  <si>
    <t xml:space="preserve">Hospedaje 7 días, hasta el 20 sep</t>
  </si>
  <si>
    <t xml:space="preserve">Mercado Pago #178802483395</t>
  </si>
  <si>
    <t xml:space="preserve">2026-09-21 a 09-24</t>
  </si>
  <si>
    <t xml:space="preserve">Hospedaje 21 al 24 sep</t>
  </si>
  <si>
    <t xml:space="preserve">Mercado Pago #180505459664</t>
  </si>
  <si>
    <t xml:space="preserve">Transferencia a Patricia Carolina Martínez, 23-sep 10:45am, $700 x 3 noches (21-24 sep). La nota anterior decía $800/noche; el chat con Carolina confirma que la tarifa real acordada fue $700/noche.</t>
  </si>
  <si>
    <t xml:space="preserve">Noche extra (no desalojé el 24)</t>
  </si>
  <si>
    <t xml:space="preserve">Mercado Pago #179937675245 (1 de 2 transferencias de $700)</t>
  </si>
  <si>
    <t xml:space="preserve">Con comprobante parcial</t>
  </si>
  <si>
    <t xml:space="preserve">Cubre las noches del 24 y 25-sep ($700 c/u, según el chat con Carolina). Alberto mandó $700 el 25-sep 7:14pm (comprobante #179937675245) y prometió otros $700 en cuanto le depositaran; no hay comprobante de esa segunda transferencia todavía.</t>
  </si>
  <si>
    <t xml:space="preserve">Hotel</t>
  </si>
  <si>
    <t xml:space="preserve">Hotel 25 sep</t>
  </si>
  <si>
    <t xml:space="preserve">Duplicado - no contar</t>
  </si>
  <si>
    <t xml:space="preserve">Era la misma noche extra de la fila 12 (Carolina cobra por noche, no existe un 'hotel' aparte). Se deja en $0 para no duplicar; los $1,400 completos ya están en la fila 12.</t>
  </si>
  <si>
    <t xml:space="preserve">2026-09-14</t>
  </si>
  <si>
    <t xml:space="preserve">Rolando (sonido)</t>
  </si>
  <si>
    <t xml:space="preserve">8 días x $700</t>
  </si>
  <si>
    <t xml:space="preserve">Mercado Pago #179081572804</t>
  </si>
  <si>
    <t xml:space="preserve">El costo era de 900 se negocio a 700 por distancia.</t>
  </si>
  <si>
    <t xml:space="preserve">Promotores</t>
  </si>
  <si>
    <t xml:space="preserve">Liquidación final en efectivo (23 y 24 sep): jornada, puntualidad y referidos</t>
  </si>
  <si>
    <t xml:space="preserve">XLS enviado al grupo 24 sep</t>
  </si>
  <si>
    <t xml:space="preserve">Monto real registrado en el sistema de nómina: $12,250 del 23-sep + $12,100 del 24-sep. El XLS enviado al grupo decía $25,350; la diferencia de $1,000 viene de ajustes posteriores. Con esto, nómina total = $142,800, igual que el archivo de detalle de nómina.</t>
  </si>
  <si>
    <t xml:space="preserve">Taxi</t>
  </si>
  <si>
    <t xml:space="preserve">Taxi (depósito de $350 del 31 ago)</t>
  </si>
  <si>
    <t xml:space="preserve">Coincide con el depósito de $350 que Aldo marcó 'taxi' el 31-ago (mismo monto exacto).</t>
  </si>
  <si>
    <t xml:space="preserve">2026-09-07</t>
  </si>
  <si>
    <t xml:space="preserve">Boleto Iván</t>
  </si>
  <si>
    <t xml:space="preserve">Boleto de Iván a Monterrey</t>
  </si>
  <si>
    <t xml:space="preserve">Viva Aerobus, cargo de tarjeta 7-sep 23:13</t>
  </si>
  <si>
    <t xml:space="preserve">Camión</t>
  </si>
  <si>
    <t xml:space="preserve">Camión de regreso MTY - CDMX</t>
  </si>
  <si>
    <t xml:space="preserve">Mercado Pago #179936512115 (Autobuses Estrella Blanca)</t>
  </si>
  <si>
    <t xml:space="preserve">Boleto de autobús, Monterrey - México Norte, 25-sep.</t>
  </si>
  <si>
    <t xml:space="preserve">2026-09-09 a 09-22</t>
  </si>
  <si>
    <t xml:space="preserve">Home Depot / Fresko / ferreterías</t>
  </si>
  <si>
    <t xml:space="preserve">Tickets Lote 1 (20 tickets)</t>
  </si>
  <si>
    <t xml:space="preserve">Fotos de tickets</t>
  </si>
  <si>
    <t xml:space="preserve">5 tickets de Home Depot sin fecha visible</t>
  </si>
  <si>
    <t xml:space="preserve">2026-09-10 a 09-23</t>
  </si>
  <si>
    <t xml:space="preserve">Fresko</t>
  </si>
  <si>
    <t xml:space="preserve">Tickets Lote 2 (19 tickets)</t>
  </si>
  <si>
    <t xml:space="preserve">2026-09-09 a 09-19</t>
  </si>
  <si>
    <t xml:space="preserve">Tickets Lote 3 (11 tickets)</t>
  </si>
  <si>
    <t xml:space="preserve">2026-09-11 a 09-23</t>
  </si>
  <si>
    <t xml:space="preserve">Tickets Lote 4 (16 tickets: agua, hielo, refrescos)</t>
  </si>
  <si>
    <t xml:space="preserve">Sin contar el retiro de efectivo de $1,500</t>
  </si>
  <si>
    <t xml:space="preserve">Viva Aerobus</t>
  </si>
  <si>
    <t xml:space="preserve">Vuelo de Alberto a Monterrey</t>
  </si>
  <si>
    <t xml:space="preserve">Viva Aerobus, cargo de tarjeta 4-sep 20:49</t>
  </si>
  <si>
    <t xml:space="preserve">Elec Steren</t>
  </si>
  <si>
    <t xml:space="preserve">Compra en Steren</t>
  </si>
  <si>
    <t xml:space="preserve">Cargo de tarjeta 8-sep 09:07</t>
  </si>
  <si>
    <t xml:space="preserve">Revisa qué se compró exactamente; no venía en las fotos de tickets de los Lotes.</t>
  </si>
  <si>
    <t xml:space="preserve">2026-09-09 a 09-24</t>
  </si>
  <si>
    <t xml:space="preserve">Fresko Valle Cumbres</t>
  </si>
  <si>
    <t xml:space="preserve">Cargos de tarjeta en Fresko Valle Cumbres: comida, producción, viáticos, aguas, etc. (54 cargos)</t>
  </si>
  <si>
    <t xml:space="preserve">Estado de cuenta de tarjeta, 54 cargos 'Pago en tienda física'</t>
  </si>
  <si>
    <t xml:space="preserve">Estado de cuenta de tarjeta, 9 al 24-sep. Alberto confirma que son gastos de la activación, independientes de los tickets de los Lotes 1 a 4 (hubo compras diarias de agua, hielo, etc.).</t>
  </si>
  <si>
    <t xml:space="preserve">Personal (no Fresko)</t>
  </si>
  <si>
    <t xml:space="preserve">Alberto</t>
  </si>
  <si>
    <t xml:space="preserve">Bicicleta de Emilia y squishys</t>
  </si>
  <si>
    <t xml:space="preserve">Gasto personal</t>
  </si>
  <si>
    <t xml:space="preserve">Gasto personal de Alberto, no es de Fresko.</t>
  </si>
  <si>
    <t xml:space="preserve">Último día</t>
  </si>
  <si>
    <t xml:space="preserve">Didier</t>
  </si>
  <si>
    <t xml:space="preserve">Taxis del último día</t>
  </si>
  <si>
    <t xml:space="preserve">Por pagar</t>
  </si>
  <si>
    <t xml:space="preserve">Pendiente de pagarle a Didier.</t>
  </si>
  <si>
    <t xml:space="preserve">Karen Lizbeth Jiménez (folio 082)</t>
  </si>
  <si>
    <t xml:space="preserve">Saldo de su turno del 18-sep</t>
  </si>
  <si>
    <t xml:space="preserve">Por transferir</t>
  </si>
  <si>
    <t xml:space="preserve">Se le entregaron $200 ese día; faltan $200 por transferir.</t>
  </si>
  <si>
    <t xml:space="preserve">TOTAL GASTOS (esta pestaña)</t>
  </si>
  <si>
    <t xml:space="preserve">NÓMINA DIARIA (lo que pagaste cada día a los promotores)</t>
  </si>
  <si>
    <t xml:space="preserve">Pago por turno</t>
  </si>
  <si>
    <t xml:space="preserve">Dato tuyo: turno $400</t>
  </si>
  <si>
    <t xml:space="preserve">Ejemplo: 11 personas x $400 = $4,400 + Didier $800 en Extras = $5,200 ese día.</t>
  </si>
  <si>
    <t xml:space="preserve">Personas que trabajaron</t>
  </si>
  <si>
    <t xml:space="preserve">Turnos (personas x pago)</t>
  </si>
  <si>
    <t xml:space="preserve">Extras (Didier, suplentes, bonos)</t>
  </si>
  <si>
    <t xml:space="preserve">Total del día</t>
  </si>
  <si>
    <t xml:space="preserve">8-sep: capacitación (34 promotores x $200 = $6,800), no hubo turno de calle</t>
  </si>
  <si>
    <t xml:space="preserve">incluye puntualidad $4,100 + referidos $350 (cierre Etapa 1)</t>
  </si>
  <si>
    <t xml:space="preserve">Didier ya con tarifa $800/día desde este día</t>
  </si>
  <si>
    <t xml:space="preserve">16-sep: día de descanso, no se trabajó</t>
  </si>
  <si>
    <t xml:space="preserve">Incluye $200 del turno de Karen (082); le quedan $200 pendientes.</t>
  </si>
  <si>
    <t xml:space="preserve">Didier no fue pagado ese día</t>
  </si>
  <si>
    <t xml:space="preserve">Incluye 1 turno del 24-sep (folio 077) pagado aparte de la liquidación.</t>
  </si>
  <si>
    <t xml:space="preserve">TOTAL NÓMINA DIARIA</t>
  </si>
  <si>
    <t xml:space="preserve">La liquidación final (23 y 24 sep) y lo de Rolando ($5,600) ya están en la pestaña Gastos; no los repitas aquí.</t>
  </si>
  <si>
    <t xml:space="preserve">VIÁTICOS DIARIOS (Uber, comidas y otros gastos sin ticket)</t>
  </si>
  <si>
    <t xml:space="preserve">Uber / taxi</t>
  </si>
  <si>
    <t xml:space="preserve">Comidas (sin ticket)</t>
  </si>
  <si>
    <t xml:space="preserve">Otros</t>
  </si>
  <si>
    <t xml:space="preserve">Tacos (mtycasabeneltogo), cargo de tarjeta 5-sep 12:48, $103.</t>
  </si>
  <si>
    <t xml:space="preserve">PENDIENTE: no especificaste Uber de este día, ¿hubo gasto?</t>
  </si>
  <si>
    <t xml:space="preserve">Mercado Pago *muchoric, cargo de tarjeta 7-sep 22:08, $299. Otros: Oxxo $238.00.</t>
  </si>
  <si>
    <t xml:space="preserve">8-sep: $500, según Alberto.</t>
  </si>
  <si>
    <t xml:space="preserve">$1,600 según lo que dijiste; de eso, $327.62 ya tiene comprobante real (Uber, cargo de tarjeta 9-sep 23:40). El resto no tiene comprobante todavía. Otros: Oxxo $432.00.</t>
  </si>
  <si>
    <t xml:space="preserve">$400 ida y vuelta (10 al 25-sep), según Alberto.</t>
  </si>
  <si>
    <t xml:space="preserve">$400 ida y vuelta (10 al 25-sep), según Alberto. Otros: Oxxo $72.00.</t>
  </si>
  <si>
    <t xml:space="preserve">$400 ida y vuelta (10 al 25-sep), según Alberto. Otros: Oxxo $65.00 + Oxxo $199.00 + Oxxo $80.00 + Oxxo $74.50.</t>
  </si>
  <si>
    <t xml:space="preserve">$400 ida y vuelta (10 al 25-sep), según Alberto. Otros: 7 Eleven $46.00 + Oxxo $132.00 + Oxxo $409.00.</t>
  </si>
  <si>
    <t xml:space="preserve">$400 ida y vuelta (10 al 25-sep), según Alberto. Otros: Oxxo $120.90.</t>
  </si>
  <si>
    <t xml:space="preserve">$400 ida y vuelta (10 al 25-sep), según Alberto. Otros: 7 Eleven $136.50 + Oxxo $72.00.</t>
  </si>
  <si>
    <t xml:space="preserve">$400 ida y vuelta (10 al 25-sep), según Alberto. Otros: 7 Eleven $155.00.</t>
  </si>
  <si>
    <t xml:space="preserve">$400 ida y vuelta (10 al 25-sep), según Alberto. Otros: 7 Eleven $160.50.</t>
  </si>
  <si>
    <t xml:space="preserve">$400 ida y vuelta (10 al 25-sep), según Alberto. Otros: Oxxo $85.00.</t>
  </si>
  <si>
    <t xml:space="preserve">$400 ida y vuelta (10 al 25-sep), según Alberto. Otros: Oxxo $33.00 + Oxxo $639.50.</t>
  </si>
  <si>
    <t xml:space="preserve">$400 ida y vuelta (10 al 25-sep), según Alberto. Otros: 7 Eleven $214.00.</t>
  </si>
  <si>
    <t xml:space="preserve">TOTAL VIÁTICOS</t>
  </si>
  <si>
    <t xml:space="preserve">Las comidas que tienen ticket de Fresko ya están en Gastos (Lotes 2, 3 y 4); aquí solo lo que no tiene ticket.</t>
  </si>
  <si>
    <t xml:space="preserve">Otros: cargos de tarjeta en Oxxo y 7 Eleven (salidas, cenas, etc.), en el día que se hicieron.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</si>
</sst>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"/>
    <numFmt numFmtId="167" formatCode="dd/mm/yyyy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8"/>
    <col collapsed="false" customWidth="true" hidden="false" outlineLevel="0" max="6" min="3" style="1" width="8.71"/>
  </cols>
  <sheetData>
    <row r="1" customFormat="false" ht="17.25" hidden="false" customHeight="true" outlineLevel="0" collapsed="false">
      <c r="A1" s="2" t="s">
        <v>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3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4" t="s">
        <v>1</v>
      </c>
      <c r="B4" s="4" t="s">
        <v>2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5" t="s">
        <v>3</v>
      </c>
      <c r="B5" s="6" t="n">
        <f aca="false">Depositos!E24</f>
        <v>294350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7" t="s">
        <v>4</v>
      </c>
      <c r="B6" s="8" t="n">
        <f aca="false">Depositos!E25</f>
        <v>294350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7" t="s">
        <v>5</v>
      </c>
      <c r="B7" s="8" t="n">
        <f aca="false">Depositos!E26</f>
        <v>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4" t="s">
        <v>6</v>
      </c>
      <c r="B9" s="4" t="s">
        <v>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7" t="s">
        <v>7</v>
      </c>
      <c r="B10" s="8" t="n">
        <f aca="false">SUMIF(Gastos!B5:B28,"Macetas",Gastos!F5:F28)</f>
        <v>43200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7" t="s">
        <v>8</v>
      </c>
      <c r="B11" s="8" t="n">
        <f aca="false">SUMIF(Gastos!B5:B28,"Mástiles",Gastos!F5:F28)</f>
        <v>20745.39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7" t="s">
        <v>9</v>
      </c>
      <c r="B12" s="8" t="n">
        <f aca="false">SUMIF(Gastos!B5:B28,"Hospedaje",Gastos!F5:F28)</f>
        <v>15049.5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7" t="s">
        <v>10</v>
      </c>
      <c r="B13" s="8" t="n">
        <f aca="false">SUMIF(Gastos!B5:B28,"Nómina",Gastos!F5:F28)</f>
        <v>30150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7" t="s">
        <v>11</v>
      </c>
      <c r="B14" s="8" t="n">
        <f aca="false">SUMIF(Gastos!B5:B28,"Transporte",Gastos!F5:F28)</f>
        <v>6675.8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7" t="s">
        <v>12</v>
      </c>
      <c r="B15" s="8" t="n">
        <f aca="false">SUMIF(Gastos!B5:B28,"Material y herramienta",Gastos!F5:F28)</f>
        <v>9732.24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7" t="s">
        <v>13</v>
      </c>
      <c r="B16" s="8" t="n">
        <f aca="false">SUMIF(Gastos!B5:B28,"Hidratación del equipo (agua, hielo, bebidas) y comidas dentro de Fresko",Gastos!F5:F28)</f>
        <v>18901.57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7" t="s">
        <v>14</v>
      </c>
      <c r="B17" s="8" t="n">
        <f aca="false">Nomina!E23</f>
        <v>129850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7" t="s">
        <v>15</v>
      </c>
      <c r="B18" s="8" t="n">
        <f aca="false">Viaticos!E27</f>
        <v>16265.9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7" t="s">
        <v>16</v>
      </c>
      <c r="B19" s="8" t="n">
        <f aca="false">SUMIF(Gastos!B5:B28,"Personal (no Fresko)",Gastos!F5:F28)</f>
        <v>5000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9" t="s">
        <v>17</v>
      </c>
      <c r="B20" s="10" t="n">
        <f aca="false">SUM(B10:B19)</f>
        <v>295570.4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4" t="s">
        <v>18</v>
      </c>
      <c r="B22" s="4" t="s">
        <v>2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9" t="s">
        <v>19</v>
      </c>
      <c r="B23" s="10" t="n">
        <f aca="false">B5-B20</f>
        <v>-1220.40000000002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1" t="str">
        <f aca="false">IF(B23&gt;0,"Te sobra dinero de Aldo: falta justificar o devolver esta cantidad",IF(B23&lt;0,"Pusiste dinero de tu bolsa: Aldo te debe esta cantidad","Cuadra exacto"))</f>
        <v>Pusiste dinero de tu bolsa: Aldo te debe esta cantidad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4" t="s">
        <v>20</v>
      </c>
      <c r="B26" s="4" t="s">
        <v>21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A27" s="7" t="s">
        <v>22</v>
      </c>
      <c r="B27" s="12" t="n">
        <f aca="false">COUNTBLANK(Gastos!F5:F28)</f>
        <v>1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7" t="s">
        <v>23</v>
      </c>
      <c r="B28" s="12" t="n">
        <f aca="false">COUNTIF(Depositos!G5:G22,"NO")</f>
        <v>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7" t="s">
        <v>24</v>
      </c>
      <c r="B29" s="12" t="n">
        <f aca="false">COUNTBLANK(Nomina!B6:B21)</f>
        <v>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true" outlineLevel="0" collapsed="false"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26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25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3" t="s">
        <v>26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39" hidden="false" customHeight="true" outlineLevel="0" collapsed="false">
      <c r="A4" s="4" t="s">
        <v>27</v>
      </c>
      <c r="B4" s="4" t="s">
        <v>28</v>
      </c>
      <c r="C4" s="4" t="s">
        <v>29</v>
      </c>
      <c r="D4" s="4" t="s">
        <v>30</v>
      </c>
      <c r="E4" s="4" t="s">
        <v>2</v>
      </c>
      <c r="F4" s="4" t="s">
        <v>31</v>
      </c>
      <c r="G4" s="4" t="s">
        <v>32</v>
      </c>
      <c r="H4" s="4" t="s">
        <v>33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7" t="n">
        <v>1</v>
      </c>
      <c r="B5" s="7" t="s">
        <v>34</v>
      </c>
      <c r="C5" s="7" t="s">
        <v>35</v>
      </c>
      <c r="D5" s="7" t="s">
        <v>36</v>
      </c>
      <c r="E5" s="13" t="n">
        <v>350</v>
      </c>
      <c r="F5" s="7" t="s">
        <v>37</v>
      </c>
      <c r="G5" s="7" t="s">
        <v>38</v>
      </c>
      <c r="H5" s="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14" t="n">
        <v>2</v>
      </c>
      <c r="B6" s="14" t="s">
        <v>39</v>
      </c>
      <c r="C6" s="14" t="s">
        <v>40</v>
      </c>
      <c r="D6" s="14"/>
      <c r="E6" s="15" t="n">
        <v>10000</v>
      </c>
      <c r="F6" s="14" t="s">
        <v>41</v>
      </c>
      <c r="G6" s="14" t="s">
        <v>38</v>
      </c>
      <c r="H6" s="14" t="s">
        <v>42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7" t="n">
        <v>3</v>
      </c>
      <c r="B7" s="7" t="s">
        <v>43</v>
      </c>
      <c r="C7" s="7" t="s">
        <v>35</v>
      </c>
      <c r="D7" s="7" t="s">
        <v>44</v>
      </c>
      <c r="E7" s="13" t="n">
        <v>50000</v>
      </c>
      <c r="F7" s="7" t="s">
        <v>45</v>
      </c>
      <c r="G7" s="7" t="s">
        <v>38</v>
      </c>
      <c r="H7" s="7" t="s">
        <v>46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14" t="n">
        <v>4</v>
      </c>
      <c r="B8" s="14" t="s">
        <v>39</v>
      </c>
      <c r="C8" s="14" t="s">
        <v>35</v>
      </c>
      <c r="D8" s="14"/>
      <c r="E8" s="15" t="n">
        <v>10000</v>
      </c>
      <c r="F8" s="14" t="s">
        <v>47</v>
      </c>
      <c r="G8" s="14" t="s">
        <v>38</v>
      </c>
      <c r="H8" s="14" t="s">
        <v>48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7" t="n">
        <v>5</v>
      </c>
      <c r="B9" s="7" t="s">
        <v>49</v>
      </c>
      <c r="C9" s="7" t="s">
        <v>35</v>
      </c>
      <c r="D9" s="7" t="s">
        <v>50</v>
      </c>
      <c r="E9" s="13" t="n">
        <v>500</v>
      </c>
      <c r="F9" s="7" t="s">
        <v>51</v>
      </c>
      <c r="G9" s="7" t="s">
        <v>38</v>
      </c>
      <c r="H9" s="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7" t="n">
        <v>6</v>
      </c>
      <c r="B10" s="7" t="s">
        <v>49</v>
      </c>
      <c r="C10" s="7" t="s">
        <v>35</v>
      </c>
      <c r="D10" s="7" t="s">
        <v>52</v>
      </c>
      <c r="E10" s="13" t="n">
        <v>40000</v>
      </c>
      <c r="F10" s="7" t="s">
        <v>53</v>
      </c>
      <c r="G10" s="7" t="s">
        <v>38</v>
      </c>
      <c r="H10" s="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7" t="n">
        <v>7</v>
      </c>
      <c r="B11" s="7" t="s">
        <v>54</v>
      </c>
      <c r="C11" s="7" t="s">
        <v>35</v>
      </c>
      <c r="D11" s="7" t="s">
        <v>55</v>
      </c>
      <c r="E11" s="13" t="n">
        <v>20000</v>
      </c>
      <c r="F11" s="7" t="s">
        <v>56</v>
      </c>
      <c r="G11" s="7" t="s">
        <v>38</v>
      </c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7" t="n">
        <v>8</v>
      </c>
      <c r="B12" s="7" t="s">
        <v>57</v>
      </c>
      <c r="C12" s="7" t="s">
        <v>35</v>
      </c>
      <c r="D12" s="7" t="s">
        <v>58</v>
      </c>
      <c r="E12" s="13" t="n">
        <v>25000</v>
      </c>
      <c r="F12" s="7" t="s">
        <v>59</v>
      </c>
      <c r="G12" s="7" t="s">
        <v>38</v>
      </c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14" t="n">
        <v>9</v>
      </c>
      <c r="B13" s="14" t="s">
        <v>60</v>
      </c>
      <c r="C13" s="14" t="s">
        <v>35</v>
      </c>
      <c r="D13" s="14"/>
      <c r="E13" s="15" t="n">
        <v>20000</v>
      </c>
      <c r="F13" s="14" t="s">
        <v>61</v>
      </c>
      <c r="G13" s="14" t="s">
        <v>38</v>
      </c>
      <c r="H13" s="14" t="s">
        <v>62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7" t="n">
        <v>10</v>
      </c>
      <c r="B14" s="7" t="s">
        <v>63</v>
      </c>
      <c r="C14" s="7" t="s">
        <v>35</v>
      </c>
      <c r="D14" s="7" t="s">
        <v>64</v>
      </c>
      <c r="E14" s="13" t="n">
        <v>15000</v>
      </c>
      <c r="F14" s="7" t="s">
        <v>65</v>
      </c>
      <c r="G14" s="7" t="s">
        <v>38</v>
      </c>
      <c r="H14" s="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7" t="n">
        <v>11</v>
      </c>
      <c r="B15" s="7" t="s">
        <v>66</v>
      </c>
      <c r="C15" s="7" t="s">
        <v>35</v>
      </c>
      <c r="D15" s="7" t="s">
        <v>67</v>
      </c>
      <c r="E15" s="13" t="n">
        <v>15000</v>
      </c>
      <c r="F15" s="7" t="s">
        <v>68</v>
      </c>
      <c r="G15" s="7" t="s">
        <v>38</v>
      </c>
      <c r="H15" s="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7" t="n">
        <v>12</v>
      </c>
      <c r="B16" s="7" t="s">
        <v>69</v>
      </c>
      <c r="C16" s="7" t="s">
        <v>35</v>
      </c>
      <c r="D16" s="7" t="s">
        <v>58</v>
      </c>
      <c r="E16" s="13" t="n">
        <v>8000</v>
      </c>
      <c r="F16" s="7" t="s">
        <v>70</v>
      </c>
      <c r="G16" s="7" t="s">
        <v>38</v>
      </c>
      <c r="H16" s="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7" t="n">
        <v>13</v>
      </c>
      <c r="B17" s="7" t="s">
        <v>71</v>
      </c>
      <c r="C17" s="7" t="s">
        <v>35</v>
      </c>
      <c r="D17" s="7" t="s">
        <v>64</v>
      </c>
      <c r="E17" s="13" t="n">
        <v>9900</v>
      </c>
      <c r="F17" s="7" t="s">
        <v>72</v>
      </c>
      <c r="G17" s="7" t="s">
        <v>38</v>
      </c>
      <c r="H17" s="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7" t="n">
        <v>14</v>
      </c>
      <c r="B18" s="7" t="s">
        <v>71</v>
      </c>
      <c r="C18" s="7" t="s">
        <v>73</v>
      </c>
      <c r="D18" s="7" t="s">
        <v>74</v>
      </c>
      <c r="E18" s="13" t="n">
        <v>30000</v>
      </c>
      <c r="F18" s="7" t="s">
        <v>75</v>
      </c>
      <c r="G18" s="7" t="s">
        <v>38</v>
      </c>
      <c r="H18" s="7" t="s">
        <v>76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7" t="n">
        <v>15</v>
      </c>
      <c r="B19" s="7" t="s">
        <v>77</v>
      </c>
      <c r="C19" s="7" t="s">
        <v>35</v>
      </c>
      <c r="D19" s="7" t="s">
        <v>64</v>
      </c>
      <c r="E19" s="13" t="n">
        <v>4500</v>
      </c>
      <c r="F19" s="7" t="s">
        <v>78</v>
      </c>
      <c r="G19" s="7" t="s">
        <v>38</v>
      </c>
      <c r="H19" s="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7" t="n">
        <v>16</v>
      </c>
      <c r="B20" s="7" t="s">
        <v>79</v>
      </c>
      <c r="C20" s="7" t="s">
        <v>35</v>
      </c>
      <c r="D20" s="7" t="s">
        <v>50</v>
      </c>
      <c r="E20" s="13" t="n">
        <v>28000</v>
      </c>
      <c r="F20" s="7" t="s">
        <v>80</v>
      </c>
      <c r="G20" s="7" t="s">
        <v>38</v>
      </c>
      <c r="H20" s="7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7" t="n">
        <v>17</v>
      </c>
      <c r="B21" s="7" t="s">
        <v>79</v>
      </c>
      <c r="C21" s="7" t="s">
        <v>35</v>
      </c>
      <c r="D21" s="7" t="s">
        <v>64</v>
      </c>
      <c r="E21" s="13" t="n">
        <v>3100</v>
      </c>
      <c r="F21" s="7" t="s">
        <v>81</v>
      </c>
      <c r="G21" s="7" t="s">
        <v>38</v>
      </c>
      <c r="H21" s="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1" t="n">
        <v>18</v>
      </c>
      <c r="B22" s="1" t="s">
        <v>82</v>
      </c>
      <c r="C22" s="1" t="s">
        <v>83</v>
      </c>
      <c r="E22" s="1" t="n">
        <v>5000</v>
      </c>
      <c r="F22" s="1" t="s">
        <v>84</v>
      </c>
      <c r="G22" s="1" t="s">
        <v>38</v>
      </c>
      <c r="H22" s="1" t="s">
        <v>85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D24" s="16" t="s">
        <v>86</v>
      </c>
      <c r="E24" s="17" t="n">
        <f aca="false">SUM(E5:E22)</f>
        <v>294350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D25" s="18" t="s">
        <v>87</v>
      </c>
      <c r="E25" s="17" t="n">
        <f aca="false">SUMIF(G5:G22,"Sí",E5:E22)</f>
        <v>294350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D26" s="18" t="s">
        <v>88</v>
      </c>
      <c r="E26" s="17" t="n">
        <f aca="false">SUMIF(G5:G22,"NO",E5:E22)</f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D28" s="3" t="s">
        <v>89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44"/>
    <col collapsed="false" customWidth="true" hidden="false" outlineLevel="0" max="6" min="6" style="1" width="14"/>
    <col collapsed="false" customWidth="true" hidden="false" outlineLevel="0" max="7" min="7" style="1" width="26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90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20" t="s">
        <v>27</v>
      </c>
      <c r="B4" s="20" t="s">
        <v>91</v>
      </c>
      <c r="C4" s="20" t="s">
        <v>28</v>
      </c>
      <c r="D4" s="20" t="s">
        <v>92</v>
      </c>
      <c r="E4" s="20" t="s">
        <v>93</v>
      </c>
      <c r="F4" s="20" t="s">
        <v>2</v>
      </c>
      <c r="G4" s="20" t="s">
        <v>94</v>
      </c>
      <c r="H4" s="20" t="s">
        <v>95</v>
      </c>
      <c r="I4" s="20" t="s">
        <v>33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21" t="n">
        <v>1</v>
      </c>
      <c r="B5" s="21" t="s">
        <v>7</v>
      </c>
      <c r="C5" s="21" t="s">
        <v>39</v>
      </c>
      <c r="D5" s="21" t="s">
        <v>96</v>
      </c>
      <c r="E5" s="22" t="s">
        <v>97</v>
      </c>
      <c r="F5" s="23" t="n">
        <v>43200</v>
      </c>
      <c r="G5" s="21"/>
      <c r="H5" s="21" t="s">
        <v>98</v>
      </c>
      <c r="I5" s="22" t="s">
        <v>99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26.25" hidden="false" customHeight="true" outlineLevel="0" collapsed="false">
      <c r="A6" s="21" t="n">
        <v>2</v>
      </c>
      <c r="B6" s="21" t="s">
        <v>8</v>
      </c>
      <c r="C6" s="21" t="s">
        <v>100</v>
      </c>
      <c r="D6" s="21" t="s">
        <v>101</v>
      </c>
      <c r="E6" s="22" t="s">
        <v>102</v>
      </c>
      <c r="F6" s="23" t="n">
        <v>13830.26</v>
      </c>
      <c r="G6" s="21" t="s">
        <v>103</v>
      </c>
      <c r="H6" s="21" t="s">
        <v>104</v>
      </c>
      <c r="I6" s="22" t="s">
        <v>105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21" t="n">
        <v>3</v>
      </c>
      <c r="B7" s="21" t="s">
        <v>8</v>
      </c>
      <c r="C7" s="21" t="s">
        <v>100</v>
      </c>
      <c r="D7" s="21" t="s">
        <v>106</v>
      </c>
      <c r="E7" s="22" t="s">
        <v>107</v>
      </c>
      <c r="F7" s="23" t="n">
        <v>6915.13</v>
      </c>
      <c r="G7" s="21" t="s">
        <v>103</v>
      </c>
      <c r="H7" s="21" t="s">
        <v>104</v>
      </c>
      <c r="I7" s="22" t="s">
        <v>108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24" t="n">
        <v>4</v>
      </c>
      <c r="B8" s="24" t="s">
        <v>9</v>
      </c>
      <c r="C8" s="24" t="s">
        <v>109</v>
      </c>
      <c r="D8" s="24" t="s">
        <v>110</v>
      </c>
      <c r="E8" s="25" t="s">
        <v>111</v>
      </c>
      <c r="F8" s="26" t="n">
        <v>1749.5</v>
      </c>
      <c r="G8" s="24" t="s">
        <v>112</v>
      </c>
      <c r="H8" s="24" t="s">
        <v>87</v>
      </c>
      <c r="I8" s="25" t="s">
        <v>113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24" t="n">
        <v>5</v>
      </c>
      <c r="B9" s="24" t="s">
        <v>9</v>
      </c>
      <c r="C9" s="24" t="s">
        <v>114</v>
      </c>
      <c r="D9" s="24" t="s">
        <v>9</v>
      </c>
      <c r="E9" s="25" t="s">
        <v>115</v>
      </c>
      <c r="F9" s="26" t="n">
        <v>4200</v>
      </c>
      <c r="G9" s="24" t="s">
        <v>116</v>
      </c>
      <c r="H9" s="24" t="s">
        <v>87</v>
      </c>
      <c r="I9" s="25" t="s">
        <v>117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21" t="n">
        <v>6</v>
      </c>
      <c r="B10" s="21" t="s">
        <v>9</v>
      </c>
      <c r="C10" s="21" t="s">
        <v>66</v>
      </c>
      <c r="D10" s="21" t="s">
        <v>118</v>
      </c>
      <c r="E10" s="22" t="s">
        <v>119</v>
      </c>
      <c r="F10" s="23" t="n">
        <v>5600</v>
      </c>
      <c r="G10" s="21" t="s">
        <v>120</v>
      </c>
      <c r="H10" s="21" t="s">
        <v>87</v>
      </c>
      <c r="I10" s="2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24" t="n">
        <v>7</v>
      </c>
      <c r="B11" s="24" t="s">
        <v>9</v>
      </c>
      <c r="C11" s="24" t="s">
        <v>121</v>
      </c>
      <c r="D11" s="24" t="s">
        <v>9</v>
      </c>
      <c r="E11" s="25" t="s">
        <v>122</v>
      </c>
      <c r="F11" s="26" t="n">
        <v>2100</v>
      </c>
      <c r="G11" s="24" t="s">
        <v>123</v>
      </c>
      <c r="H11" s="24" t="s">
        <v>87</v>
      </c>
      <c r="I11" s="25" t="s">
        <v>124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21" t="n">
        <v>8</v>
      </c>
      <c r="B12" s="21" t="s">
        <v>9</v>
      </c>
      <c r="C12" s="21" t="s">
        <v>79</v>
      </c>
      <c r="D12" s="21" t="s">
        <v>9</v>
      </c>
      <c r="E12" s="22" t="s">
        <v>125</v>
      </c>
      <c r="F12" s="23" t="n">
        <v>1400</v>
      </c>
      <c r="G12" s="21" t="s">
        <v>126</v>
      </c>
      <c r="H12" s="21" t="s">
        <v>127</v>
      </c>
      <c r="I12" s="22" t="s">
        <v>128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26.25" hidden="false" customHeight="true" outlineLevel="0" collapsed="false">
      <c r="A13" s="21" t="n">
        <v>9</v>
      </c>
      <c r="B13" s="21" t="s">
        <v>9</v>
      </c>
      <c r="C13" s="21" t="s">
        <v>79</v>
      </c>
      <c r="D13" s="21" t="s">
        <v>129</v>
      </c>
      <c r="E13" s="22" t="s">
        <v>130</v>
      </c>
      <c r="F13" s="23"/>
      <c r="G13" s="21"/>
      <c r="H13" s="21" t="s">
        <v>131</v>
      </c>
      <c r="I13" s="22" t="s">
        <v>132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21" t="n">
        <v>10</v>
      </c>
      <c r="B14" s="21" t="s">
        <v>10</v>
      </c>
      <c r="C14" s="21" t="s">
        <v>133</v>
      </c>
      <c r="D14" s="21" t="s">
        <v>134</v>
      </c>
      <c r="E14" s="22" t="s">
        <v>135</v>
      </c>
      <c r="F14" s="23" t="n">
        <v>5600</v>
      </c>
      <c r="G14" s="21" t="s">
        <v>136</v>
      </c>
      <c r="H14" s="21" t="s">
        <v>87</v>
      </c>
      <c r="I14" s="22" t="s">
        <v>137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26.25" hidden="false" customHeight="true" outlineLevel="0" collapsed="false">
      <c r="A15" s="21" t="n">
        <v>11</v>
      </c>
      <c r="B15" s="21" t="s">
        <v>10</v>
      </c>
      <c r="C15" s="21" t="s">
        <v>77</v>
      </c>
      <c r="D15" s="21" t="s">
        <v>138</v>
      </c>
      <c r="E15" s="22" t="s">
        <v>139</v>
      </c>
      <c r="F15" s="23" t="n">
        <v>24350</v>
      </c>
      <c r="G15" s="21" t="s">
        <v>140</v>
      </c>
      <c r="H15" s="21" t="s">
        <v>87</v>
      </c>
      <c r="I15" s="22" t="s">
        <v>141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24" t="n">
        <v>12</v>
      </c>
      <c r="B16" s="24" t="s">
        <v>11</v>
      </c>
      <c r="C16" s="24" t="s">
        <v>34</v>
      </c>
      <c r="D16" s="24" t="s">
        <v>142</v>
      </c>
      <c r="E16" s="25" t="s">
        <v>143</v>
      </c>
      <c r="F16" s="26" t="n">
        <v>350</v>
      </c>
      <c r="G16" s="24"/>
      <c r="H16" s="24" t="s">
        <v>87</v>
      </c>
      <c r="I16" s="25" t="s">
        <v>144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24" t="n">
        <v>13</v>
      </c>
      <c r="B17" s="24" t="s">
        <v>11</v>
      </c>
      <c r="C17" s="24" t="s">
        <v>145</v>
      </c>
      <c r="D17" s="24" t="s">
        <v>146</v>
      </c>
      <c r="E17" s="25" t="s">
        <v>147</v>
      </c>
      <c r="F17" s="26" t="n">
        <v>1499.27</v>
      </c>
      <c r="G17" s="24" t="s">
        <v>148</v>
      </c>
      <c r="H17" s="24" t="s">
        <v>87</v>
      </c>
      <c r="I17" s="25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24" t="n">
        <v>15</v>
      </c>
      <c r="B18" s="24" t="s">
        <v>11</v>
      </c>
      <c r="C18" s="24" t="s">
        <v>79</v>
      </c>
      <c r="D18" s="24" t="s">
        <v>149</v>
      </c>
      <c r="E18" s="25" t="s">
        <v>150</v>
      </c>
      <c r="F18" s="26" t="n">
        <v>1669.5</v>
      </c>
      <c r="G18" s="24" t="s">
        <v>151</v>
      </c>
      <c r="H18" s="24" t="s">
        <v>87</v>
      </c>
      <c r="I18" s="25" t="s">
        <v>152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21" t="n">
        <v>16</v>
      </c>
      <c r="B19" s="21" t="s">
        <v>12</v>
      </c>
      <c r="C19" s="21" t="s">
        <v>153</v>
      </c>
      <c r="D19" s="21" t="s">
        <v>154</v>
      </c>
      <c r="E19" s="22" t="s">
        <v>155</v>
      </c>
      <c r="F19" s="23" t="n">
        <v>9098.24</v>
      </c>
      <c r="G19" s="21" t="s">
        <v>156</v>
      </c>
      <c r="H19" s="21" t="s">
        <v>87</v>
      </c>
      <c r="I19" s="22" t="s">
        <v>157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26.25" hidden="false" customHeight="true" outlineLevel="0" collapsed="false">
      <c r="A20" s="21" t="n">
        <v>17</v>
      </c>
      <c r="B20" s="21" t="s">
        <v>13</v>
      </c>
      <c r="C20" s="21" t="s">
        <v>158</v>
      </c>
      <c r="D20" s="21" t="s">
        <v>159</v>
      </c>
      <c r="E20" s="22" t="s">
        <v>160</v>
      </c>
      <c r="F20" s="23" t="n">
        <v>2304.64</v>
      </c>
      <c r="G20" s="21" t="s">
        <v>156</v>
      </c>
      <c r="H20" s="21" t="s">
        <v>87</v>
      </c>
      <c r="I20" s="2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21" t="n">
        <v>18</v>
      </c>
      <c r="B21" s="21" t="s">
        <v>13</v>
      </c>
      <c r="C21" s="21" t="s">
        <v>161</v>
      </c>
      <c r="D21" s="21" t="s">
        <v>159</v>
      </c>
      <c r="E21" s="22" t="s">
        <v>162</v>
      </c>
      <c r="F21" s="23" t="n">
        <v>1238.2</v>
      </c>
      <c r="G21" s="21" t="s">
        <v>156</v>
      </c>
      <c r="H21" s="21" t="s">
        <v>87</v>
      </c>
      <c r="I21" s="2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26.25" hidden="false" customHeight="true" outlineLevel="0" collapsed="false">
      <c r="A22" s="21" t="n">
        <v>19</v>
      </c>
      <c r="B22" s="21" t="s">
        <v>13</v>
      </c>
      <c r="C22" s="21" t="s">
        <v>163</v>
      </c>
      <c r="D22" s="21" t="s">
        <v>159</v>
      </c>
      <c r="E22" s="22" t="s">
        <v>164</v>
      </c>
      <c r="F22" s="23" t="n">
        <v>3701.85</v>
      </c>
      <c r="G22" s="21" t="s">
        <v>156</v>
      </c>
      <c r="H22" s="21" t="s">
        <v>87</v>
      </c>
      <c r="I22" s="22" t="s">
        <v>165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27" t="n">
        <v>20</v>
      </c>
      <c r="B23" s="27" t="s">
        <v>11</v>
      </c>
      <c r="C23" s="27" t="s">
        <v>43</v>
      </c>
      <c r="D23" s="27" t="s">
        <v>166</v>
      </c>
      <c r="E23" s="27" t="s">
        <v>167</v>
      </c>
      <c r="F23" s="27" t="n">
        <v>2357.03</v>
      </c>
      <c r="G23" s="27" t="s">
        <v>168</v>
      </c>
      <c r="H23" s="27" t="s">
        <v>87</v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27" t="n">
        <v>21</v>
      </c>
      <c r="B24" s="27" t="s">
        <v>12</v>
      </c>
      <c r="C24" s="27" t="s">
        <v>82</v>
      </c>
      <c r="D24" s="27" t="s">
        <v>169</v>
      </c>
      <c r="E24" s="27" t="s">
        <v>170</v>
      </c>
      <c r="F24" s="27" t="n">
        <v>634</v>
      </c>
      <c r="G24" s="27" t="s">
        <v>171</v>
      </c>
      <c r="H24" s="27" t="s">
        <v>87</v>
      </c>
      <c r="I24" s="27" t="s">
        <v>172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27" t="n">
        <v>22</v>
      </c>
      <c r="B25" s="27" t="s">
        <v>13</v>
      </c>
      <c r="C25" s="27" t="s">
        <v>173</v>
      </c>
      <c r="D25" s="27" t="s">
        <v>174</v>
      </c>
      <c r="E25" s="27" t="s">
        <v>175</v>
      </c>
      <c r="F25" s="27" t="n">
        <v>11656.88</v>
      </c>
      <c r="G25" s="27" t="s">
        <v>176</v>
      </c>
      <c r="H25" s="27" t="s">
        <v>87</v>
      </c>
      <c r="I25" s="27" t="s">
        <v>177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27" t="n">
        <v>22</v>
      </c>
      <c r="B26" s="27" t="s">
        <v>178</v>
      </c>
      <c r="C26" s="27"/>
      <c r="D26" s="27" t="s">
        <v>179</v>
      </c>
      <c r="E26" s="27" t="s">
        <v>180</v>
      </c>
      <c r="F26" s="27" t="n">
        <v>5000</v>
      </c>
      <c r="G26" s="27"/>
      <c r="H26" s="27" t="s">
        <v>181</v>
      </c>
      <c r="I26" s="27" t="s">
        <v>182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27" t="n">
        <v>23</v>
      </c>
      <c r="B27" s="27" t="s">
        <v>11</v>
      </c>
      <c r="C27" s="27" t="s">
        <v>183</v>
      </c>
      <c r="D27" s="27" t="s">
        <v>184</v>
      </c>
      <c r="E27" s="27" t="s">
        <v>185</v>
      </c>
      <c r="F27" s="27" t="n">
        <v>800</v>
      </c>
      <c r="G27" s="27"/>
      <c r="H27" s="27" t="s">
        <v>186</v>
      </c>
      <c r="I27" s="27" t="s">
        <v>187</v>
      </c>
    </row>
    <row r="28" customFormat="false" ht="15.75" hidden="false" customHeight="true" outlineLevel="0" collapsed="false">
      <c r="A28" s="27" t="n">
        <v>24</v>
      </c>
      <c r="B28" s="27" t="s">
        <v>10</v>
      </c>
      <c r="C28" s="27" t="s">
        <v>66</v>
      </c>
      <c r="D28" s="27" t="s">
        <v>188</v>
      </c>
      <c r="E28" s="27" t="s">
        <v>189</v>
      </c>
      <c r="F28" s="27" t="n">
        <v>200</v>
      </c>
      <c r="G28" s="27"/>
      <c r="H28" s="27" t="s">
        <v>190</v>
      </c>
      <c r="I28" s="27" t="s">
        <v>191</v>
      </c>
    </row>
    <row r="29" customFormat="false" ht="15.75" hidden="false" customHeight="true" outlineLevel="0" collapsed="false">
      <c r="E29" s="16" t="s">
        <v>192</v>
      </c>
      <c r="F29" s="17" t="n">
        <f aca="false">SUM(F5:F28)</f>
        <v>149454.5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customFormat="false" ht="15" hidden="false" customHeight="true" outlineLevel="0" collapsed="false"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customFormat="false" ht="15" hidden="false" customHeight="true" outlineLevel="0" collapsed="false"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15"/>
    <col collapsed="false" customWidth="true" hidden="false" outlineLevel="0" max="6" min="6" style="1" width="40"/>
    <col collapsed="false" customWidth="true" hidden="false" outlineLevel="0" max="8" min="7" style="1" width="8.71"/>
  </cols>
  <sheetData>
    <row r="1" customFormat="false" ht="17.25" hidden="false" customHeight="true" outlineLevel="0" collapsed="false">
      <c r="A1" s="2" t="s">
        <v>193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F2" s="28" t="s">
        <v>194</v>
      </c>
      <c r="G2" s="29" t="n">
        <v>400</v>
      </c>
      <c r="H2" s="3" t="s">
        <v>195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A3" s="3" t="s">
        <v>196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39" hidden="false" customHeight="true" outlineLevel="0" collapsed="false">
      <c r="A5" s="4" t="s">
        <v>28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33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30" t="n">
        <v>46273</v>
      </c>
      <c r="B6" s="31" t="n">
        <v>0</v>
      </c>
      <c r="C6" s="32" t="n">
        <f aca="false">B6*$G$2</f>
        <v>0</v>
      </c>
      <c r="D6" s="15" t="n">
        <v>6800</v>
      </c>
      <c r="E6" s="32" t="n">
        <f aca="false">C6+D6</f>
        <v>6800</v>
      </c>
      <c r="F6" s="27" t="s">
        <v>201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30" t="n">
        <v>46274</v>
      </c>
      <c r="B7" s="31" t="n">
        <v>22</v>
      </c>
      <c r="C7" s="32" t="n">
        <f aca="false">B7*$G$2</f>
        <v>8800</v>
      </c>
      <c r="D7" s="15" t="n">
        <v>400</v>
      </c>
      <c r="E7" s="32" t="n">
        <f aca="false">C7+D7</f>
        <v>9200</v>
      </c>
      <c r="F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30" t="n">
        <v>46275</v>
      </c>
      <c r="B8" s="31" t="n">
        <v>26</v>
      </c>
      <c r="C8" s="32" t="n">
        <f aca="false">B8*$G$2</f>
        <v>10400</v>
      </c>
      <c r="D8" s="15" t="n">
        <v>400</v>
      </c>
      <c r="E8" s="32" t="n">
        <f aca="false">C8+D8</f>
        <v>10800</v>
      </c>
      <c r="F8" s="2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30" t="n">
        <v>46276</v>
      </c>
      <c r="B9" s="31" t="n">
        <v>23</v>
      </c>
      <c r="C9" s="32" t="n">
        <f aca="false">B9*$G$2</f>
        <v>9200</v>
      </c>
      <c r="D9" s="15" t="n">
        <v>400</v>
      </c>
      <c r="E9" s="32" t="n">
        <f aca="false">C9+D9</f>
        <v>9600</v>
      </c>
      <c r="F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30" t="n">
        <v>46277</v>
      </c>
      <c r="B10" s="31" t="n">
        <v>27</v>
      </c>
      <c r="C10" s="32" t="n">
        <f aca="false">B10*$G$2</f>
        <v>10800</v>
      </c>
      <c r="D10" s="15" t="n">
        <v>400</v>
      </c>
      <c r="E10" s="32" t="n">
        <f aca="false">C10+D10</f>
        <v>11200</v>
      </c>
      <c r="F10" s="2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30" t="n">
        <v>46278</v>
      </c>
      <c r="B11" s="31" t="n">
        <v>34</v>
      </c>
      <c r="C11" s="32" t="n">
        <f aca="false">B11*$G$2</f>
        <v>13600</v>
      </c>
      <c r="D11" s="15" t="n">
        <v>4850</v>
      </c>
      <c r="E11" s="32" t="n">
        <f aca="false">C11+D11</f>
        <v>18450</v>
      </c>
      <c r="F11" s="27" t="s">
        <v>202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30" t="n">
        <v>46279</v>
      </c>
      <c r="B12" s="31" t="n">
        <v>19</v>
      </c>
      <c r="C12" s="32" t="n">
        <f aca="false">B12*$G$2</f>
        <v>7600</v>
      </c>
      <c r="D12" s="15" t="n">
        <v>400</v>
      </c>
      <c r="E12" s="32" t="n">
        <f aca="false">C12+D12</f>
        <v>8000</v>
      </c>
      <c r="F12" s="2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30" t="n">
        <v>46280</v>
      </c>
      <c r="B13" s="31" t="n">
        <v>16</v>
      </c>
      <c r="C13" s="32" t="n">
        <f aca="false">B13*$G$2</f>
        <v>6400</v>
      </c>
      <c r="D13" s="15" t="n">
        <v>800</v>
      </c>
      <c r="E13" s="32" t="n">
        <f aca="false">C13+D13</f>
        <v>7200</v>
      </c>
      <c r="F13" s="27" t="s">
        <v>203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30" t="n">
        <v>46281</v>
      </c>
      <c r="B14" s="31" t="n">
        <v>0</v>
      </c>
      <c r="C14" s="32" t="n">
        <f aca="false">B14*$G$2</f>
        <v>0</v>
      </c>
      <c r="D14" s="15" t="n">
        <v>0</v>
      </c>
      <c r="E14" s="32" t="n">
        <f aca="false">C14+D14</f>
        <v>0</v>
      </c>
      <c r="F14" s="27" t="s">
        <v>204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30" t="n">
        <v>46282</v>
      </c>
      <c r="B15" s="31" t="n">
        <v>18</v>
      </c>
      <c r="C15" s="32" t="n">
        <f aca="false">B15*$G$2</f>
        <v>7200</v>
      </c>
      <c r="D15" s="15" t="n">
        <v>800</v>
      </c>
      <c r="E15" s="32" t="n">
        <f aca="false">C15+D15</f>
        <v>8000</v>
      </c>
      <c r="F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30" t="n">
        <v>46283</v>
      </c>
      <c r="B16" s="31" t="n">
        <v>19</v>
      </c>
      <c r="C16" s="32" t="n">
        <f aca="false">B16*$G$2</f>
        <v>7600</v>
      </c>
      <c r="D16" s="15" t="n">
        <v>600</v>
      </c>
      <c r="E16" s="32" t="n">
        <f aca="false">C16+D16</f>
        <v>8200</v>
      </c>
      <c r="F16" s="27" t="s">
        <v>205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30" t="n">
        <v>46284</v>
      </c>
      <c r="B17" s="31" t="n">
        <v>15</v>
      </c>
      <c r="C17" s="32" t="n">
        <f aca="false">B17*$G$2</f>
        <v>6000</v>
      </c>
      <c r="D17" s="15" t="n">
        <v>0</v>
      </c>
      <c r="E17" s="32" t="n">
        <f aca="false">C17+D17</f>
        <v>6000</v>
      </c>
      <c r="F17" s="27" t="s">
        <v>206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30" t="n">
        <v>46285</v>
      </c>
      <c r="B18" s="31" t="n">
        <v>21</v>
      </c>
      <c r="C18" s="32" t="n">
        <f aca="false">B18*$G$2</f>
        <v>8400</v>
      </c>
      <c r="D18" s="15" t="n">
        <v>400</v>
      </c>
      <c r="E18" s="32" t="n">
        <f aca="false">C18+D18</f>
        <v>8800</v>
      </c>
      <c r="F18" s="2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30" t="n">
        <v>46286</v>
      </c>
      <c r="B19" s="31" t="n">
        <v>22</v>
      </c>
      <c r="C19" s="32" t="n">
        <f aca="false">B19*$G$2</f>
        <v>8800</v>
      </c>
      <c r="D19" s="15" t="n">
        <v>400</v>
      </c>
      <c r="E19" s="32" t="n">
        <f aca="false">C19+D19</f>
        <v>9200</v>
      </c>
      <c r="F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30" t="n">
        <v>46287</v>
      </c>
      <c r="B20" s="31" t="n">
        <v>14</v>
      </c>
      <c r="C20" s="32" t="n">
        <f aca="false">B20*$G$2</f>
        <v>5600</v>
      </c>
      <c r="D20" s="15" t="n">
        <v>0</v>
      </c>
      <c r="E20" s="32" t="n">
        <f aca="false">C20+D20</f>
        <v>5600</v>
      </c>
      <c r="F20" s="27" t="s">
        <v>206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30" t="n">
        <v>46288</v>
      </c>
      <c r="B21" s="31" t="n">
        <v>6</v>
      </c>
      <c r="C21" s="32" t="n">
        <f aca="false">B21*$G$2</f>
        <v>2400</v>
      </c>
      <c r="D21" s="15" t="n">
        <v>400</v>
      </c>
      <c r="E21" s="32" t="n">
        <f aca="false">C21+D21</f>
        <v>2800</v>
      </c>
      <c r="F21" s="27" t="s">
        <v>207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D23" s="16" t="s">
        <v>208</v>
      </c>
      <c r="E23" s="17" t="n">
        <f aca="false">SUM(E6:E21)</f>
        <v>129850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3" t="s">
        <v>209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210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6.25" hidden="false" customHeight="true" outlineLevel="0" collapsed="false">
      <c r="A4" s="4" t="s">
        <v>28</v>
      </c>
      <c r="B4" s="4" t="s">
        <v>211</v>
      </c>
      <c r="C4" s="4" t="s">
        <v>212</v>
      </c>
      <c r="D4" s="4" t="s">
        <v>213</v>
      </c>
      <c r="E4" s="4" t="s">
        <v>200</v>
      </c>
      <c r="F4" s="4" t="s">
        <v>33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30" t="n">
        <v>46270</v>
      </c>
      <c r="B5" s="15" t="n">
        <v>1000</v>
      </c>
      <c r="C5" s="15" t="n">
        <v>103</v>
      </c>
      <c r="D5" s="15"/>
      <c r="E5" s="32" t="n">
        <f aca="false">SUM(B5:D5)</f>
        <v>1103</v>
      </c>
      <c r="F5" s="27" t="s">
        <v>214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30" t="n">
        <v>46271</v>
      </c>
      <c r="B6" s="15"/>
      <c r="C6" s="15"/>
      <c r="D6" s="15"/>
      <c r="E6" s="32" t="n">
        <f aca="false">SUM(B6:D6)</f>
        <v>0</v>
      </c>
      <c r="F6" s="27" t="s">
        <v>215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30" t="n">
        <v>46272</v>
      </c>
      <c r="B7" s="15"/>
      <c r="C7" s="15" t="n">
        <v>299</v>
      </c>
      <c r="D7" s="15" t="n">
        <v>238</v>
      </c>
      <c r="E7" s="32" t="n">
        <f aca="false">SUM(B7:D7)</f>
        <v>537</v>
      </c>
      <c r="F7" s="27" t="s">
        <v>216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30" t="n">
        <v>46273</v>
      </c>
      <c r="B8" s="15" t="n">
        <v>500</v>
      </c>
      <c r="C8" s="15"/>
      <c r="D8" s="15"/>
      <c r="E8" s="32" t="n">
        <f aca="false">SUM(B8:D8)</f>
        <v>500</v>
      </c>
      <c r="F8" s="27" t="s">
        <v>217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30" t="n">
        <v>46274</v>
      </c>
      <c r="B9" s="15" t="n">
        <v>1600</v>
      </c>
      <c r="C9" s="15"/>
      <c r="D9" s="15" t="n">
        <v>432</v>
      </c>
      <c r="E9" s="32" t="n">
        <f aca="false">SUM(B9:D9)</f>
        <v>2032</v>
      </c>
      <c r="F9" s="27" t="s">
        <v>218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30" t="n">
        <v>46275</v>
      </c>
      <c r="B10" s="15" t="n">
        <v>400</v>
      </c>
      <c r="C10" s="15"/>
      <c r="D10" s="15" t="n">
        <v>500</v>
      </c>
      <c r="E10" s="32" t="n">
        <f aca="false">SUM(B10:D10)</f>
        <v>900</v>
      </c>
      <c r="F10" s="27" t="s">
        <v>219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30" t="n">
        <v>46276</v>
      </c>
      <c r="B11" s="15" t="n">
        <v>400</v>
      </c>
      <c r="C11" s="15"/>
      <c r="D11" s="15" t="n">
        <v>72</v>
      </c>
      <c r="E11" s="32" t="n">
        <f aca="false">SUM(B11:D11)</f>
        <v>472</v>
      </c>
      <c r="F11" s="27" t="s">
        <v>220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30" t="n">
        <v>46277</v>
      </c>
      <c r="B12" s="15" t="n">
        <v>400</v>
      </c>
      <c r="C12" s="15"/>
      <c r="D12" s="15" t="n">
        <v>418.5</v>
      </c>
      <c r="E12" s="32" t="n">
        <f aca="false">SUM(B12:D12)</f>
        <v>818.5</v>
      </c>
      <c r="F12" s="27" t="s">
        <v>221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30" t="n">
        <v>46278</v>
      </c>
      <c r="B13" s="15" t="n">
        <v>400</v>
      </c>
      <c r="C13" s="15"/>
      <c r="D13" s="15" t="n">
        <v>587</v>
      </c>
      <c r="E13" s="32" t="n">
        <f aca="false">SUM(B13:D13)</f>
        <v>987</v>
      </c>
      <c r="F13" s="27" t="s">
        <v>222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30" t="n">
        <v>46279</v>
      </c>
      <c r="B14" s="15" t="n">
        <v>400</v>
      </c>
      <c r="C14" s="15"/>
      <c r="D14" s="15" t="n">
        <v>120.9</v>
      </c>
      <c r="E14" s="32" t="n">
        <f aca="false">SUM(B14:D14)</f>
        <v>520.9</v>
      </c>
      <c r="F14" s="27" t="s">
        <v>223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30" t="n">
        <v>46280</v>
      </c>
      <c r="B15" s="15" t="n">
        <v>400</v>
      </c>
      <c r="C15" s="15"/>
      <c r="D15" s="15" t="n">
        <v>208.5</v>
      </c>
      <c r="E15" s="32" t="n">
        <f aca="false">SUM(B15:D15)</f>
        <v>608.5</v>
      </c>
      <c r="F15" s="27" t="s">
        <v>224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30" t="n">
        <v>46281</v>
      </c>
      <c r="B16" s="15" t="n">
        <v>400</v>
      </c>
      <c r="C16" s="15"/>
      <c r="D16" s="15" t="n">
        <v>500</v>
      </c>
      <c r="E16" s="32" t="n">
        <f aca="false">SUM(B16:D16)</f>
        <v>900</v>
      </c>
      <c r="F16" s="27" t="s">
        <v>219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30" t="n">
        <v>46282</v>
      </c>
      <c r="B17" s="15" t="n">
        <v>400</v>
      </c>
      <c r="C17" s="15"/>
      <c r="D17" s="15" t="n">
        <v>500</v>
      </c>
      <c r="E17" s="32" t="n">
        <f aca="false">SUM(B17:D17)</f>
        <v>900</v>
      </c>
      <c r="F17" s="27" t="s">
        <v>219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30" t="n">
        <v>46283</v>
      </c>
      <c r="B18" s="15" t="n">
        <v>400</v>
      </c>
      <c r="C18" s="15"/>
      <c r="D18" s="15" t="n">
        <v>500</v>
      </c>
      <c r="E18" s="32" t="n">
        <f aca="false">SUM(B18:D18)</f>
        <v>900</v>
      </c>
      <c r="F18" s="27" t="s">
        <v>219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30" t="n">
        <v>46284</v>
      </c>
      <c r="B19" s="15" t="n">
        <v>400</v>
      </c>
      <c r="C19" s="15"/>
      <c r="D19" s="15" t="n">
        <v>500</v>
      </c>
      <c r="E19" s="32" t="n">
        <f aca="false">SUM(B19:D19)</f>
        <v>900</v>
      </c>
      <c r="F19" s="27" t="s">
        <v>219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30" t="n">
        <v>46285</v>
      </c>
      <c r="B20" s="15" t="n">
        <v>400</v>
      </c>
      <c r="C20" s="15"/>
      <c r="D20" s="15" t="n">
        <v>155</v>
      </c>
      <c r="E20" s="32" t="n">
        <f aca="false">SUM(B20:D20)</f>
        <v>555</v>
      </c>
      <c r="F20" s="27" t="s">
        <v>225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30" t="n">
        <v>46286</v>
      </c>
      <c r="B21" s="15" t="n">
        <v>400</v>
      </c>
      <c r="C21" s="15"/>
      <c r="D21" s="15" t="n">
        <v>160.5</v>
      </c>
      <c r="E21" s="32" t="n">
        <f aca="false">SUM(B21:D21)</f>
        <v>560.5</v>
      </c>
      <c r="F21" s="27" t="s">
        <v>226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30" t="n">
        <v>46287</v>
      </c>
      <c r="B22" s="15" t="n">
        <v>400</v>
      </c>
      <c r="C22" s="15"/>
      <c r="D22" s="15" t="n">
        <v>85</v>
      </c>
      <c r="E22" s="32" t="n">
        <f aca="false">SUM(B22:D22)</f>
        <v>485</v>
      </c>
      <c r="F22" s="27" t="s">
        <v>227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30" t="n">
        <v>46288</v>
      </c>
      <c r="B23" s="15" t="n">
        <v>400</v>
      </c>
      <c r="C23" s="15"/>
      <c r="D23" s="15" t="n">
        <v>672.5</v>
      </c>
      <c r="E23" s="32" t="n">
        <f aca="false">SUM(B23:D23)</f>
        <v>1072.5</v>
      </c>
      <c r="F23" s="27" t="s">
        <v>228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30" t="n">
        <v>46289</v>
      </c>
      <c r="B24" s="15" t="n">
        <v>400</v>
      </c>
      <c r="C24" s="15"/>
      <c r="D24" s="15" t="n">
        <v>500</v>
      </c>
      <c r="E24" s="32" t="n">
        <f aca="false">SUM(B24:D24)</f>
        <v>900</v>
      </c>
      <c r="F24" s="27" t="s">
        <v>219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30" t="n">
        <v>46290</v>
      </c>
      <c r="B25" s="15" t="n">
        <v>400</v>
      </c>
      <c r="C25" s="15"/>
      <c r="D25" s="15" t="n">
        <v>214</v>
      </c>
      <c r="E25" s="32" t="n">
        <f aca="false">SUM(B25:D25)</f>
        <v>614</v>
      </c>
      <c r="F25" s="27" t="s">
        <v>229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D27" s="16" t="s">
        <v>230</v>
      </c>
      <c r="E27" s="17" t="n">
        <f aca="false">SUM(E5:E25)</f>
        <v>16265.9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3" t="s">
        <v>231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3" t="s">
        <v>232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2026-09-30T01:52:15Z</dcterms:created>
  <dc:creator>openpyxl</dc:creator>
  <dc:description/>
  <dc:language>en-US</dc:language>
  <cp:lastModifiedBy/>
  <dcterms:modified xsi:type="dcterms:W3CDTF">2026-09-30T02:11:19Z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